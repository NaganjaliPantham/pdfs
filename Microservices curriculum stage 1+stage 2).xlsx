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cognizantonline.sharepoint.com/sites/GTP-Solutions/Gtpsolutionsinternalrepository/GENC-Interns-tracks/Onboarding Track Details/EPS/2025/Onboarding artifacts/H2'25/November/Microservices/"/>
    </mc:Choice>
  </mc:AlternateContent>
  <xr:revisionPtr revIDLastSave="4" documentId="8_{01B6FB5A-A949-45E0-AEA1-B2F35B09E116}" xr6:coauthVersionLast="47" xr6:coauthVersionMax="47" xr10:uidLastSave="{33ED5850-ACB6-4887-AA3F-3078DF1079B6}"/>
  <bookViews>
    <workbookView xWindow="-110" yWindow="-110" windowWidth="19420" windowHeight="10300" tabRatio="924" firstSheet="1" activeTab="1" xr2:uid="{1652EDE5-4A27-4B9A-8325-95B7DEB5D842}"/>
  </bookViews>
  <sheets>
    <sheet name="Modulelist - OLD" sheetId="62" state="hidden" r:id="rId1"/>
    <sheet name="Modulelist" sheetId="109" r:id="rId2"/>
    <sheet name="Junit" sheetId="101" state="hidden" r:id="rId3"/>
    <sheet name="Adv Java concepts" sheetId="121" r:id="rId4"/>
    <sheet name="XML Basics" sheetId="97" r:id="rId5"/>
    <sheet name="Rest Web Service" sheetId="106" r:id="rId6"/>
    <sheet name="SOAP Web Service" sheetId="105" r:id="rId7"/>
    <sheet name="Weekwise" sheetId="107" state="hidden" r:id="rId8"/>
    <sheet name="Assessments" sheetId="52" state="hidden" r:id="rId9"/>
    <sheet name="AWS Overview" sheetId="118" r:id="rId10"/>
    <sheet name="Github Copilot - Coverage" sheetId="120" r:id="rId11"/>
    <sheet name="Gen AI Overview" sheetId="119" r:id="rId12"/>
    <sheet name="Microservices" sheetId="117" r:id="rId13"/>
    <sheet name="Udemy Link" sheetId="115" r:id="rId14"/>
    <sheet name="HW-SWReq" sheetId="56" state="hidden" r:id="rId15"/>
    <sheet name="B2B" sheetId="116" state="hidden" r:id="rId16"/>
    <sheet name="J2EE Architecture" sheetId="122" r:id="rId17"/>
  </sheets>
  <externalReferences>
    <externalReference r:id="rId18"/>
    <externalReference r:id="rId19"/>
    <externalReference r:id="rId20"/>
    <externalReference r:id="rId21"/>
    <externalReference r:id="rId22"/>
    <externalReference r:id="rId23"/>
  </externalReferences>
  <definedNames>
    <definedName name="_xlnm._FilterDatabase" localSheetId="1" hidden="1">#N/A</definedName>
    <definedName name="_xlnm._FilterDatabase" localSheetId="0" hidden="1">#N/A</definedName>
    <definedName name="csharp">'[1]Learning Assets'!$B$4:$B$48</definedName>
    <definedName name="CSharp1">'[2]Learning Assets'!$B$4:$B$48</definedName>
    <definedName name="dffdafda">'[3]Learning Assets'!$B$4:$B$48</definedName>
    <definedName name="grtyrt">'[4]Learning Assets'!$B$4:$B$48</definedName>
    <definedName name="ModuleName">'[5]Learning Assets'!$B$4:$B$48</definedName>
    <definedName name="tttt">'[6]Learning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09" l="1"/>
  <c r="E19" i="109"/>
  <c r="E20" i="109"/>
  <c r="D16" i="62"/>
  <c r="D18" i="62"/>
  <c r="D19" i="62"/>
  <c r="P22" i="107"/>
  <c r="O5" i="107"/>
  <c r="D34" i="62"/>
  <c r="E36" i="62"/>
  <c r="E37" i="62"/>
  <c r="E67" i="106"/>
  <c r="G69" i="106"/>
  <c r="G70" i="106"/>
  <c r="G62" i="106"/>
  <c r="G67" i="106"/>
  <c r="G63" i="106"/>
  <c r="G64" i="106"/>
  <c r="G65" i="106"/>
  <c r="G66" i="106"/>
  <c r="G61" i="106"/>
  <c r="G58" i="106"/>
  <c r="G57" i="106"/>
  <c r="G59" i="106"/>
  <c r="G38" i="106"/>
  <c r="G37" i="106"/>
  <c r="G39" i="106"/>
  <c r="G34" i="106"/>
  <c r="G35" i="106"/>
  <c r="G33" i="106"/>
  <c r="G21" i="106"/>
  <c r="G22" i="106"/>
  <c r="G31" i="106"/>
  <c r="G23" i="106"/>
  <c r="G24" i="106"/>
  <c r="G25" i="106"/>
  <c r="G26" i="106"/>
  <c r="G27" i="106"/>
  <c r="G28" i="106"/>
  <c r="G29" i="106"/>
  <c r="G30" i="106"/>
  <c r="G20" i="106"/>
  <c r="G53" i="106"/>
  <c r="G54" i="106"/>
  <c r="G52" i="106"/>
  <c r="F55" i="106"/>
  <c r="G55" i="106"/>
  <c r="G42" i="106"/>
  <c r="G43" i="106"/>
  <c r="G44" i="106"/>
  <c r="G45" i="106"/>
  <c r="G46" i="106"/>
  <c r="G47" i="106"/>
  <c r="G48" i="106"/>
  <c r="G49" i="106"/>
  <c r="G41" i="106"/>
  <c r="G15" i="106"/>
  <c r="G16" i="106"/>
  <c r="G17" i="106"/>
  <c r="G14" i="106"/>
  <c r="G9" i="106"/>
  <c r="G12" i="106"/>
  <c r="G10" i="106"/>
  <c r="G11" i="106"/>
  <c r="G8" i="106"/>
  <c r="E50" i="106"/>
  <c r="G50" i="106"/>
  <c r="E18" i="106"/>
  <c r="G18" i="106"/>
  <c r="G49" i="105"/>
  <c r="G50" i="105"/>
  <c r="G51" i="105"/>
  <c r="G48" i="105"/>
  <c r="G40" i="105"/>
  <c r="G44" i="105"/>
  <c r="G45" i="105"/>
  <c r="G43" i="105"/>
  <c r="E52" i="105"/>
  <c r="F46" i="105"/>
  <c r="E46" i="105"/>
  <c r="E54" i="105"/>
  <c r="E55" i="105"/>
  <c r="E56" i="105"/>
  <c r="E38" i="105"/>
  <c r="F41" i="105"/>
  <c r="F54" i="105"/>
  <c r="G38" i="105"/>
  <c r="G31" i="105"/>
  <c r="G32" i="105"/>
  <c r="G33" i="105"/>
  <c r="G34" i="105"/>
  <c r="G35" i="105"/>
  <c r="G36" i="105"/>
  <c r="G37" i="105"/>
  <c r="G30" i="105"/>
  <c r="G24" i="105"/>
  <c r="G25" i="105"/>
  <c r="G26" i="105"/>
  <c r="G23" i="105"/>
  <c r="E27" i="105"/>
  <c r="G27" i="105"/>
  <c r="E21" i="105"/>
  <c r="G21" i="105"/>
  <c r="G19" i="105"/>
  <c r="G20" i="105"/>
  <c r="G18" i="105"/>
  <c r="G15" i="105"/>
  <c r="E16" i="105"/>
  <c r="G16" i="105"/>
  <c r="E13" i="105"/>
  <c r="G13" i="105"/>
  <c r="G9" i="105"/>
  <c r="G10" i="105"/>
  <c r="G11" i="105"/>
  <c r="G12" i="105"/>
  <c r="G8" i="105"/>
  <c r="H2" i="105"/>
  <c r="F70" i="106"/>
  <c r="E70" i="106"/>
  <c r="F67" i="106"/>
  <c r="F72" i="106"/>
  <c r="F73" i="106"/>
  <c r="F74" i="106"/>
  <c r="F59" i="106"/>
  <c r="E59" i="106"/>
  <c r="E55" i="106"/>
  <c r="F39" i="106"/>
  <c r="E39" i="106"/>
  <c r="F35" i="106"/>
  <c r="E35" i="106"/>
  <c r="F31" i="106"/>
  <c r="E31" i="106"/>
  <c r="F18" i="106"/>
  <c r="F12" i="106"/>
  <c r="E12" i="106"/>
  <c r="H2" i="106"/>
  <c r="F67" i="97"/>
  <c r="E67" i="97"/>
  <c r="G66" i="97"/>
  <c r="G65" i="97"/>
  <c r="G64" i="97"/>
  <c r="G63" i="97"/>
  <c r="G67" i="97"/>
  <c r="G62" i="97"/>
  <c r="F16" i="101"/>
  <c r="E16" i="101"/>
  <c r="F13" i="101"/>
  <c r="F18" i="101"/>
  <c r="F19" i="101"/>
  <c r="F20" i="101"/>
  <c r="E13" i="101"/>
  <c r="E18" i="101"/>
  <c r="E19" i="101"/>
  <c r="E20" i="101"/>
  <c r="F10" i="101"/>
  <c r="E10" i="101"/>
  <c r="H2" i="101"/>
  <c r="G15" i="101"/>
  <c r="G16" i="101"/>
  <c r="G12" i="101"/>
  <c r="G13" i="101"/>
  <c r="G9" i="101"/>
  <c r="G8" i="101"/>
  <c r="G10" i="101"/>
  <c r="E23" i="97"/>
  <c r="F37" i="97"/>
  <c r="F70" i="97"/>
  <c r="F71" i="97"/>
  <c r="F72" i="97"/>
  <c r="E37" i="97"/>
  <c r="F23" i="97"/>
  <c r="H2" i="97"/>
  <c r="F60" i="97"/>
  <c r="E60" i="97"/>
  <c r="G59" i="97"/>
  <c r="G58" i="97"/>
  <c r="G57" i="97"/>
  <c r="G60" i="97"/>
  <c r="G70" i="97"/>
  <c r="G71" i="97"/>
  <c r="G72" i="97"/>
  <c r="G56" i="97"/>
  <c r="G55" i="97"/>
  <c r="G54" i="97"/>
  <c r="G53" i="97"/>
  <c r="G52" i="97"/>
  <c r="F50" i="97"/>
  <c r="E50" i="97"/>
  <c r="E70" i="97"/>
  <c r="E71" i="97"/>
  <c r="E72" i="97"/>
  <c r="G49" i="97"/>
  <c r="G48" i="97"/>
  <c r="G47" i="97"/>
  <c r="G46" i="97"/>
  <c r="G45" i="97"/>
  <c r="G44" i="97"/>
  <c r="G43" i="97"/>
  <c r="G42" i="97"/>
  <c r="G41" i="97"/>
  <c r="G40" i="97"/>
  <c r="G50" i="97"/>
  <c r="G39" i="97"/>
  <c r="G36" i="97"/>
  <c r="G35" i="97"/>
  <c r="G34" i="97"/>
  <c r="G33" i="97"/>
  <c r="G32" i="97"/>
  <c r="G31" i="97"/>
  <c r="G30" i="97"/>
  <c r="G29" i="97"/>
  <c r="G28" i="97"/>
  <c r="G27" i="97"/>
  <c r="G26" i="97"/>
  <c r="G25" i="97"/>
  <c r="G37" i="97"/>
  <c r="G22" i="97"/>
  <c r="G21" i="97"/>
  <c r="G20" i="97"/>
  <c r="G19" i="97"/>
  <c r="G18" i="97"/>
  <c r="G17" i="97"/>
  <c r="G16" i="97"/>
  <c r="G15" i="97"/>
  <c r="G14" i="97"/>
  <c r="G13" i="97"/>
  <c r="G12" i="97"/>
  <c r="G11" i="97"/>
  <c r="G10" i="97"/>
  <c r="G9" i="97"/>
  <c r="G8" i="97"/>
  <c r="G23" i="97"/>
  <c r="G46" i="105"/>
  <c r="G54" i="105"/>
  <c r="G55" i="105"/>
  <c r="G56" i="105"/>
  <c r="G41" i="105"/>
  <c r="F55" i="105"/>
  <c r="F56" i="105"/>
  <c r="G52" i="105"/>
  <c r="E72" i="106"/>
  <c r="G72" i="106"/>
  <c r="G73" i="106"/>
  <c r="G74" i="106"/>
  <c r="G18" i="101"/>
  <c r="G19" i="101"/>
  <c r="G20" i="101"/>
  <c r="E73" i="106"/>
  <c r="E74" i="106"/>
</calcChain>
</file>

<file path=xl/sharedStrings.xml><?xml version="1.0" encoding="utf-8"?>
<sst xmlns="http://schemas.openxmlformats.org/spreadsheetml/2006/main" count="700" uniqueCount="398">
  <si>
    <t>Training Segment</t>
  </si>
  <si>
    <t xml:space="preserve"> New Course/Module</t>
  </si>
  <si>
    <t xml:space="preserve"> Delivery Method</t>
  </si>
  <si>
    <t>Baseline Duration ( Hrs )</t>
  </si>
  <si>
    <t>Required</t>
  </si>
  <si>
    <t>Enablement Assured Level</t>
  </si>
  <si>
    <t>Assessment Assured Level</t>
  </si>
  <si>
    <t>Comments</t>
  </si>
  <si>
    <t>Training Support</t>
  </si>
  <si>
    <t>Enablement</t>
  </si>
  <si>
    <t>Behavioral</t>
  </si>
  <si>
    <t>ILT</t>
  </si>
  <si>
    <t>Knowledge</t>
  </si>
  <si>
    <t>Software Engineering</t>
  </si>
  <si>
    <t>Awareness</t>
  </si>
  <si>
    <t>Introduction to Database</t>
  </si>
  <si>
    <t xml:space="preserve">ANSI SQL </t>
  </si>
  <si>
    <t>ILT and hands on</t>
  </si>
  <si>
    <t>Skill</t>
  </si>
  <si>
    <t>Assessment</t>
  </si>
  <si>
    <t>ANSI SQL Assessment</t>
  </si>
  <si>
    <t>Certification</t>
  </si>
  <si>
    <t xml:space="preserve">Core Java </t>
  </si>
  <si>
    <t>ILT &amp; Elearning</t>
  </si>
  <si>
    <t>Certification in programming using Core Java</t>
  </si>
  <si>
    <t>J2EE Architecture</t>
  </si>
  <si>
    <t>SOAP Webservice</t>
  </si>
  <si>
    <t>REST Web Service</t>
  </si>
  <si>
    <t>Junit</t>
  </si>
  <si>
    <t>JavaScript</t>
  </si>
  <si>
    <t>XML Basics</t>
  </si>
  <si>
    <t>BU Training</t>
  </si>
  <si>
    <t>Total Duration in Days</t>
  </si>
  <si>
    <t xml:space="preserve">Total Duration in Weeks </t>
  </si>
  <si>
    <t>Note: Baseline duration hours is calculated as 5 days a week</t>
  </si>
  <si>
    <t>Stage</t>
  </si>
  <si>
    <t>Course/Module</t>
  </si>
  <si>
    <t>Delivery Method</t>
  </si>
  <si>
    <t>Innovation Ignitor</t>
  </si>
  <si>
    <t>Elearning</t>
  </si>
  <si>
    <t>Yes</t>
  </si>
  <si>
    <t>AUP</t>
  </si>
  <si>
    <t>OHSAS</t>
  </si>
  <si>
    <t>COBE</t>
  </si>
  <si>
    <t>ERT</t>
  </si>
  <si>
    <t>Excellence in Delivery</t>
  </si>
  <si>
    <t>Digital 101</t>
  </si>
  <si>
    <t xml:space="preserve">AD Service Line Orientation
</t>
  </si>
  <si>
    <t>AD Service Line</t>
  </si>
  <si>
    <t>Agile methodology</t>
  </si>
  <si>
    <t xml:space="preserve">Stage </t>
  </si>
  <si>
    <t>Stage 1,2</t>
  </si>
  <si>
    <t>ILT/VILT</t>
  </si>
  <si>
    <t>Genc</t>
  </si>
  <si>
    <t>Stage 1/Delta</t>
  </si>
  <si>
    <t>Adv Java concepts</t>
  </si>
  <si>
    <t>Self learning + Doubt clarification</t>
  </si>
  <si>
    <t>XML</t>
  </si>
  <si>
    <t>Pratice Assessment</t>
  </si>
  <si>
    <t>Assessment (XML/SOAP/REST)</t>
  </si>
  <si>
    <t xml:space="preserve">Stage 2 </t>
  </si>
  <si>
    <t>AWS Overview</t>
  </si>
  <si>
    <t>Stage 2</t>
  </si>
  <si>
    <t>Gen AI Overview</t>
  </si>
  <si>
    <t>Github Copilot</t>
  </si>
  <si>
    <t xml:space="preserve">Self paced  </t>
  </si>
  <si>
    <t>Handson</t>
  </si>
  <si>
    <t>Microservices</t>
  </si>
  <si>
    <t>16 GB CTS laptop ( high configuration S/w) required to access internal lab</t>
  </si>
  <si>
    <t>BU Trainers</t>
  </si>
  <si>
    <t>Interim Check</t>
  </si>
  <si>
    <t>Interim Evaluation</t>
  </si>
  <si>
    <t>Evaluation</t>
  </si>
  <si>
    <t>Project</t>
  </si>
  <si>
    <t>Project &amp; Final check</t>
  </si>
  <si>
    <t>Final Evaluation</t>
  </si>
  <si>
    <t>Total Duration (hours)</t>
  </si>
  <si>
    <t>Total Duration (Days)</t>
  </si>
  <si>
    <t>Total Duration (weeks)</t>
  </si>
  <si>
    <t xml:space="preserve">CATP 4.0 :Unit Testing &amp; Junits - Module Table of Contents  </t>
  </si>
  <si>
    <t xml:space="preserve">Module Name: </t>
  </si>
  <si>
    <t>Unit Testing &amp; Junits</t>
  </si>
  <si>
    <t>Version #:  1.0</t>
  </si>
  <si>
    <t>Topic #</t>
  </si>
  <si>
    <t>Coverage of Each Module</t>
  </si>
  <si>
    <t>Topic  Name</t>
  </si>
  <si>
    <t>Learning Objective #</t>
  </si>
  <si>
    <t>Learning Objective for the Topics</t>
  </si>
  <si>
    <r>
      <t xml:space="preserve">Estimated Duration In Mts for </t>
    </r>
    <r>
      <rPr>
        <b/>
        <sz val="10"/>
        <color indexed="10"/>
        <rFont val="Calibri"/>
        <family val="2"/>
      </rPr>
      <t>Theory</t>
    </r>
  </si>
  <si>
    <r>
      <t xml:space="preserve">Estimated Duration In Mts for </t>
    </r>
    <r>
      <rPr>
        <b/>
        <sz val="10"/>
        <color indexed="10"/>
        <rFont val="Calibri"/>
        <family val="2"/>
      </rPr>
      <t>Hands-on</t>
    </r>
  </si>
  <si>
    <r>
      <t xml:space="preserve">Estimated Duration In Mts
</t>
    </r>
    <r>
      <rPr>
        <b/>
        <sz val="10"/>
        <color indexed="10"/>
        <rFont val="Calibri"/>
        <family val="2"/>
      </rPr>
      <t>Total</t>
    </r>
  </si>
  <si>
    <t>Unit Testing Fundamentals</t>
  </si>
  <si>
    <t>Unit Testing Fundamentals Theory &amp; Lend a Hand</t>
  </si>
  <si>
    <t>Hands on in creating Unit Test Cases</t>
  </si>
  <si>
    <t xml:space="preserve">Estimated Time Duration for this Topic  </t>
  </si>
  <si>
    <t>Junit Standalone</t>
  </si>
  <si>
    <t xml:space="preserve">Junit Standalone Theory </t>
  </si>
  <si>
    <t>Junit Server Side/Coverage</t>
  </si>
  <si>
    <t xml:space="preserve">Junit Server Side Theory </t>
  </si>
  <si>
    <t>Total Duration in Minutes</t>
  </si>
  <si>
    <t>Total Duration in Weeks</t>
  </si>
  <si>
    <t>Course name</t>
  </si>
  <si>
    <t>Coverage</t>
  </si>
  <si>
    <t>link</t>
  </si>
  <si>
    <t>Duration</t>
  </si>
  <si>
    <t>Modern Java: Mastering Features from Java 8 to Java 25</t>
  </si>
  <si>
    <t>By the end of this course you will have a complete understanding of all the Java 8, Java ll, Java 17, Java 21  features and implement it in real Java projects</t>
  </si>
  <si>
    <t>https://cognizant.udemy.com/course/modern-java-learn-java-8-features-by-coding-it/</t>
  </si>
  <si>
    <t>CATP 2016: Module Table of Contents  CATP4.0</t>
  </si>
  <si>
    <t>Module Name</t>
  </si>
  <si>
    <t xml:space="preserve"> XML Basics</t>
  </si>
  <si>
    <t>Date: June 2016</t>
  </si>
  <si>
    <t>Introduction to XML</t>
  </si>
  <si>
    <t>What is an XML</t>
  </si>
  <si>
    <t>Advantages of XML</t>
  </si>
  <si>
    <t>HTML Vs XML</t>
  </si>
  <si>
    <t>Building blocks of XML document</t>
  </si>
  <si>
    <t>XML Elements, Attributes, Entities, PCDATA and CDATA</t>
  </si>
  <si>
    <t>Lend a Hand: XML explaining the building blocks</t>
  </si>
  <si>
    <t>What is DTD?</t>
  </si>
  <si>
    <t>How to declare a DTD</t>
  </si>
  <si>
    <t>Why do we need DTD?</t>
  </si>
  <si>
    <t>Learning DTD using a sample XML</t>
  </si>
  <si>
    <t>DTD Element And Attribute Declaration</t>
  </si>
  <si>
    <t>Complete DTD for the sample XML</t>
  </si>
  <si>
    <t>Elements Vs Attributes</t>
  </si>
  <si>
    <t>Features of Well Formed and Valid XML</t>
  </si>
  <si>
    <t>Lend a Hand : Create a DTD</t>
  </si>
  <si>
    <t>Introduction to XML Schema</t>
  </si>
  <si>
    <t>What is a Schema</t>
  </si>
  <si>
    <t>What is a name space?</t>
  </si>
  <si>
    <t>Elements of Schema</t>
  </si>
  <si>
    <t>Schema Element</t>
  </si>
  <si>
    <t>Simple Element</t>
  </si>
  <si>
    <t>Complex Element</t>
  </si>
  <si>
    <t>Element Attributes</t>
  </si>
  <si>
    <t>Indicators - All, Choice, Sequence, Min &amp; Max</t>
  </si>
  <si>
    <t>Lend a Hand:Creating a XSD</t>
  </si>
  <si>
    <t>XSD Vs DTD</t>
  </si>
  <si>
    <t>Step By Step approach to create a XSD</t>
  </si>
  <si>
    <t>Hands on Exercise: Create a XSD</t>
  </si>
  <si>
    <t>Introduction to XML Parsers</t>
  </si>
  <si>
    <t>What is XML parser?</t>
  </si>
  <si>
    <t>Types of XML Parsers</t>
  </si>
  <si>
    <t>What is a SAX Parser?</t>
  </si>
  <si>
    <t>SAX Parser-How it works</t>
  </si>
  <si>
    <t>More about SAX Parsers</t>
  </si>
  <si>
    <t>DOM Parser</t>
  </si>
  <si>
    <t>DOM Tree</t>
  </si>
  <si>
    <t>DOM Vs SAX</t>
  </si>
  <si>
    <t>Steps to parse XML using DOM parser</t>
  </si>
  <si>
    <t>Lend a Hand: Parse a XML using DOM Parser</t>
  </si>
  <si>
    <t>Hands on Excercise : DOM Parser Demo</t>
  </si>
  <si>
    <t>Introduction to JAXP</t>
  </si>
  <si>
    <t>What is JAXP?</t>
  </si>
  <si>
    <t>JAXP,SAX and DOM Comparison</t>
  </si>
  <si>
    <t>Traditional Vs JAXP based application</t>
  </si>
  <si>
    <t>JAXP Flexibility: Changing the Parser</t>
  </si>
  <si>
    <t>JAXP Exceptions</t>
  </si>
  <si>
    <t>How to use JAXP &amp; DOM Parser</t>
  </si>
  <si>
    <t>Lend a Hand: Parse a XML using JAXP DOM Parser</t>
  </si>
  <si>
    <t>Hands on Excercise: JAXP DOM Parser Demo</t>
  </si>
  <si>
    <t>Orchestration in XML</t>
  </si>
  <si>
    <t>Learn how to create a Service request xml</t>
  </si>
  <si>
    <t>Creating Rules xml</t>
  </si>
  <si>
    <t>Creating cross reference xml</t>
  </si>
  <si>
    <t>Understanding Orchestration xml structure</t>
  </si>
  <si>
    <t>Define metadata for Orchestration</t>
  </si>
  <si>
    <t>Reference Book Used</t>
  </si>
  <si>
    <t xml:space="preserve">CATP 4.0 : REST Webservices -Module Table of Contents  </t>
  </si>
  <si>
    <t>: REST WS</t>
  </si>
  <si>
    <t>Basics</t>
  </si>
  <si>
    <t>What is REST ?</t>
  </si>
  <si>
    <t>REST architecture</t>
  </si>
  <si>
    <t>HTTP  methods</t>
  </si>
  <si>
    <t>Introduction to RESTful web service.</t>
  </si>
  <si>
    <t>Set up environment</t>
  </si>
  <si>
    <t>Setup JDK</t>
  </si>
  <si>
    <t>Setup Eclipse IDE</t>
  </si>
  <si>
    <t>Setup Jersey framework library</t>
  </si>
  <si>
    <t>Setup Apache Tomcat</t>
  </si>
  <si>
    <t>Resources</t>
  </si>
  <si>
    <t>Introduction to Resources.</t>
  </si>
  <si>
    <t>Representation of Resources</t>
  </si>
  <si>
    <t>i. URIs for Resources</t>
  </si>
  <si>
    <t>a. URI Structure</t>
  </si>
  <si>
    <t>b. Standard Query Parameters in URIs</t>
  </si>
  <si>
    <t>ii. Entities</t>
  </si>
  <si>
    <t>a. Representations (Content Types) of Entities</t>
  </si>
  <si>
    <t>b. Hypertext Linking within an Entity</t>
  </si>
  <si>
    <t>c. Entity ID</t>
  </si>
  <si>
    <t>d. Expansion for Entities</t>
  </si>
  <si>
    <t>Characteristics of good representation</t>
  </si>
  <si>
    <t>Messages</t>
  </si>
  <si>
    <t>HTTP Request</t>
  </si>
  <si>
    <t>HTTP Response</t>
  </si>
  <si>
    <t>Methods</t>
  </si>
  <si>
    <t>HTTP Methods</t>
  </si>
  <si>
    <t>get, put, delete, post, options</t>
  </si>
  <si>
    <t>JAX-RS (REST)</t>
  </si>
  <si>
    <t>Creating a RESTful Root Resource Class</t>
  </si>
  <si>
    <t>a. Developing RESTfulWeb Services with JAX-RS</t>
  </si>
  <si>
    <t>b. Overview of a JAX-RS Application</t>
  </si>
  <si>
    <t>c. The @Path Annotation and URI Path Templates</t>
  </si>
  <si>
    <t>d. Responding to HTTP Methods and Requests</t>
  </si>
  <si>
    <t>i. The Request Method Designator Annotations</t>
  </si>
  <si>
    <t>ii. Using Entity Providers to Map HTTP Response and Request Entity Bodies</t>
  </si>
  <si>
    <t>Using @Consumes and @Produces to Customize
Requests and Responses</t>
  </si>
  <si>
    <t>Extracting Request Parameters</t>
  </si>
  <si>
    <t>Hands on</t>
  </si>
  <si>
    <t>Build an RESTful webservice</t>
  </si>
  <si>
    <t>Deploy and run the program</t>
  </si>
  <si>
    <t>Testing the Restful webservice</t>
  </si>
  <si>
    <t>Pros and cons</t>
  </si>
  <si>
    <t>What is staelessness?</t>
  </si>
  <si>
    <t>Advantages and disadvantages</t>
  </si>
  <si>
    <t>Security</t>
  </si>
  <si>
    <t>Authentication</t>
  </si>
  <si>
    <t>Authorisation</t>
  </si>
  <si>
    <t>XSRF</t>
  </si>
  <si>
    <t>Caching</t>
  </si>
  <si>
    <t>Concurrency</t>
  </si>
  <si>
    <t>HTTP Status codes</t>
  </si>
  <si>
    <t>jax-rs</t>
  </si>
  <si>
    <t>Specifications and annotations</t>
  </si>
  <si>
    <t xml:space="preserve">CATP 4.0 : SOAP webservices Table of Contents  </t>
  </si>
  <si>
    <t>SOAP WS</t>
  </si>
  <si>
    <t>Introduction web service</t>
  </si>
  <si>
    <t>What are webservice ?</t>
  </si>
  <si>
    <t>Types of web services (SOAP/REST)</t>
  </si>
  <si>
    <t>Deciding on type of webservices to use</t>
  </si>
  <si>
    <t>Why we need Web Services ?</t>
  </si>
  <si>
    <t>Features</t>
  </si>
  <si>
    <t>What are the characteristics of web services?</t>
  </si>
  <si>
    <t>Architecture</t>
  </si>
  <si>
    <t>Web Service Roles</t>
  </si>
  <si>
    <t>Web Service Protocol Stack</t>
  </si>
  <si>
    <t>Service Transport</t>
  </si>
  <si>
    <t>Components</t>
  </si>
  <si>
    <t>XML-RPC</t>
  </si>
  <si>
    <t>SOAP</t>
  </si>
  <si>
    <t>UDDI</t>
  </si>
  <si>
    <t>WSDL</t>
  </si>
  <si>
    <t>JAX-WS (SOAP)</t>
  </si>
  <si>
    <t>Setting up the IDE for Web service</t>
  </si>
  <si>
    <t>BuildingWeb Services with JAX-WS</t>
  </si>
  <si>
    <t>Creating a SimpleWeb Service and Clients with JAX-WS</t>
  </si>
  <si>
    <t>Requirements of a JAX-WS Endpoint</t>
  </si>
  <si>
    <t>Coding the Service Endpoint Implementation Class</t>
  </si>
  <si>
    <t>Building, Packaging, and Deploying the Service</t>
  </si>
  <si>
    <t>Testing the Methods of aWeb Service Endpoint</t>
  </si>
  <si>
    <t>A Simple JAX-WS Application Client</t>
  </si>
  <si>
    <t>A Simple JAX-WSWeb Client</t>
  </si>
  <si>
    <t>Hands on creating a new application and running it.</t>
  </si>
  <si>
    <t>Confidentiality</t>
  </si>
  <si>
    <t>Network Security</t>
  </si>
  <si>
    <t>Standards</t>
  </si>
  <si>
    <t>Transport</t>
  </si>
  <si>
    <t>Description and discovery</t>
  </si>
  <si>
    <t>Management</t>
  </si>
  <si>
    <t>SE</t>
  </si>
  <si>
    <t>DB Concepts</t>
  </si>
  <si>
    <t>SQL</t>
  </si>
  <si>
    <t>Java</t>
  </si>
  <si>
    <t>SQL Assessment</t>
  </si>
  <si>
    <t>j2EE</t>
  </si>
  <si>
    <t>Rest</t>
  </si>
  <si>
    <t>Java-Assessment</t>
  </si>
  <si>
    <t>JS</t>
  </si>
  <si>
    <t>Assessments</t>
  </si>
  <si>
    <t>SL No</t>
  </si>
  <si>
    <t>Assessment Type</t>
  </si>
  <si>
    <t>Assessment Platform</t>
  </si>
  <si>
    <t>e-Box</t>
  </si>
  <si>
    <t>Core Java Skill assessment</t>
  </si>
  <si>
    <t>Learning 
Objective #</t>
  </si>
  <si>
    <t>Estimated Duration In Minutes (Theory)</t>
  </si>
  <si>
    <t>Estimated Duration In Minutes (Practical)</t>
  </si>
  <si>
    <t>Total Estimated Duration in Minutes</t>
  </si>
  <si>
    <t>Total Estimated Duration In Hours</t>
  </si>
  <si>
    <t>Total Estimated Duration In Weeks</t>
  </si>
  <si>
    <t>AWS</t>
  </si>
  <si>
    <t>You will gain a solid understanding of many of the services available within AWS
Compare AWS, Google, and Microsoft Cloud platforms
Learn how to sign up for an AWS account and take advantage of the Free Tier
Follow along in your own AWS account to create EC2 instances, S3 buckets, and more!
Learn how you can become AWS Certified</t>
  </si>
  <si>
    <t xml:space="preserve">Udemy Link </t>
  </si>
  <si>
    <t>https://cognizant.udemy.com/course/awsintro/</t>
  </si>
  <si>
    <t>Prompt Engineering</t>
  </si>
  <si>
    <t>Topic</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</si>
  <si>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</si>
  <si>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</si>
  <si>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</si>
  <si>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</si>
  <si>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</si>
  <si>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</si>
  <si>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</si>
  <si>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</si>
  <si>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</si>
  <si>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</si>
  <si>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</si>
  <si>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</si>
  <si>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</si>
  <si>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</si>
  <si>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</si>
  <si>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</si>
  <si>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</si>
  <si>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</si>
  <si>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</si>
  <si>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</si>
  <si>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</si>
  <si>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</si>
  <si>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</si>
  <si>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Course Name</t>
  </si>
  <si>
    <t>Link</t>
  </si>
  <si>
    <t>AI Accelerate</t>
  </si>
  <si>
    <t>https://onecognizant.cognizant.com/Home?GlobalAppID=1738&amp;URL=https://onecognizantazrapps.cognizant.com/1738/MLSApp/Pathway/viewpathway?page=90994272</t>
  </si>
  <si>
    <t>Course Material Details</t>
  </si>
  <si>
    <t>Informative Link</t>
  </si>
  <si>
    <t>Duration (hours)</t>
  </si>
  <si>
    <t>Week 1</t>
  </si>
  <si>
    <t>Spring Framework Master Class - Java Spring the Modern Way</t>
  </si>
  <si>
    <t>Core Spring framework, Spring boot, Spring AOP, Spring JDBC &amp; JPA, Junit, Mockito, Junit testing with Spring, Basic Eclipse/Maven</t>
  </si>
  <si>
    <t>https://cognizant.udemy.com/course/spring-tutorial-for-beginners/</t>
  </si>
  <si>
    <t>Week 2</t>
  </si>
  <si>
    <t>Learn Spring Boot in 100 Steps - Beginner to Expert</t>
  </si>
  <si>
    <t xml:space="preserve">Spring Boot, Web Applications in Spring, Spring Boot autoconfiguration, Spring Boot in Depth, </t>
  </si>
  <si>
    <t>https://cognizant.udemy.com/course/spring-boot-tutorial-for-beginners/</t>
  </si>
  <si>
    <t>Spring Boot Security and oAuth2 in depth from scratch</t>
  </si>
  <si>
    <t>Spring Security,OAUth</t>
  </si>
  <si>
    <t>https://cognizant.udemy.com/course/spring-boot-security-and-oauth2/</t>
  </si>
  <si>
    <t>Week 3</t>
  </si>
  <si>
    <t>Spring Boot Microservices and Spring Cloud</t>
  </si>
  <si>
    <t>Spring Cloud Services</t>
  </si>
  <si>
    <t>https://cognizant.udemy.com/course/spring-boot-microservices-and-spring-cloud/</t>
  </si>
  <si>
    <t>Interim evaluation</t>
  </si>
  <si>
    <t>Week 4</t>
  </si>
  <si>
    <t>Apache Kafka Crash Course for Java and Python Developers</t>
  </si>
  <si>
    <t>Apache Kafka</t>
  </si>
  <si>
    <t>Apache Kafka Crash Course for Java and Python Developers | Udemy Business</t>
  </si>
  <si>
    <t>Basics of Docker Containers</t>
  </si>
  <si>
    <t>Docker Intro, Commands, Images, Compose, Storage, Networking</t>
  </si>
  <si>
    <t>https://cognizant.udemy.com/course/learn-docker/</t>
  </si>
  <si>
    <t>Basic Understanding of Container Orchestration Frameworks - Kubernetes</t>
  </si>
  <si>
    <t xml:space="preserve">Kubernetes, Pods, Replicas, Deployments, Services, Microservice Overview, </t>
  </si>
  <si>
    <t>https://cognizant.udemy.com/course/learn-kubernetes/</t>
  </si>
  <si>
    <t>Microservices: Designing Highly Scalable Systems</t>
  </si>
  <si>
    <t>Desigin pricinples for microservices</t>
  </si>
  <si>
    <t>https://cognizant.udemy.com/course/introduction-to-microservices/</t>
  </si>
  <si>
    <t>Week 5.6</t>
  </si>
  <si>
    <t>Skills</t>
  </si>
  <si>
    <t>Udemy</t>
  </si>
  <si>
    <t>ANSI SQL</t>
  </si>
  <si>
    <t>https://cognizant.udemy.com/course/the-ultimate-mysql-bootcamp-go-from-sql-beginner-to-expert/</t>
  </si>
  <si>
    <t>https://cognizant.udemy.com/course/java-the-complete-java-developer-course/learn/lecture/9400918#overview</t>
  </si>
  <si>
    <t xml:space="preserve">https://cognizant.udemy.com/course/java-ee-fundamentals/ </t>
  </si>
  <si>
    <t>https://cognizant.udemy.com/course/xml-and-xml-schema-definition-in-easy-steps/</t>
  </si>
  <si>
    <t>https://cognizant.udemy.com/course/java-web-services/
https://cognizant.udemy.com/course/spring-web-services-tutorial/</t>
  </si>
  <si>
    <t xml:space="preserve"> Module H/W and S/W Requirement</t>
  </si>
  <si>
    <t xml:space="preserve">                           </t>
  </si>
  <si>
    <t>#</t>
  </si>
  <si>
    <t>Details</t>
  </si>
  <si>
    <t xml:space="preserve">Version Details </t>
  </si>
  <si>
    <t xml:space="preserve">Remarks </t>
  </si>
  <si>
    <t xml:space="preserve">Hardware Requirements </t>
  </si>
  <si>
    <t> Hard disk</t>
  </si>
  <si>
    <t> 250gb</t>
  </si>
  <si>
    <t>RAM</t>
  </si>
  <si>
    <t> 8gb</t>
  </si>
  <si>
    <t> Processor</t>
  </si>
  <si>
    <t> Dual core</t>
  </si>
  <si>
    <t xml:space="preserve">Software Requirements </t>
  </si>
  <si>
    <t xml:space="preserve">Oracle SOA Suite 12.2.1.4.0 </t>
  </si>
  <si>
    <t xml:space="preserve">https://www.oracle.com/in/middleware/technologies/soasuite/downloads.html
</t>
  </si>
  <si>
    <t>B2B/MFT Basics</t>
  </si>
  <si>
    <t xml:space="preserve"> Overview on Supply chain Management - Flow &amp; Process
 SCM Process across Domains (Retail/ Logistics/ Healthcare  etc.)
 Detailed study on B2B Integration
 Core components of B2B Integration Process.
 Role of B2B Integration in SCM. (Benefits / Challenges)</t>
  </si>
  <si>
    <t xml:space="preserve"> What is EDI &amp; How EDI works.
 Overview on EDI Standards.
 Role of EDI in B2B Integration.</t>
  </si>
  <si>
    <t xml:space="preserve"> Detailed study on EDI Message Structure.
 EDI Validation
 How Business Data correlates with EDI Transactions &amp; Message Structure.</t>
  </si>
  <si>
    <t>How B2B Connectivity &amp; Flow takes place. (Inbound / Outbound)
Detailed study on MFT Process (Comm Protocol concepts).
Detailed study on Message Transportation &amp; Data Transformation</t>
  </si>
  <si>
    <t xml:space="preserve">Overview on all B2B / MFT Tools &amp; Skillsets in IPM
High Level study on any of the B2B Solution Architecture (By picking any of the existing B2B Architecture)
</t>
  </si>
  <si>
    <t xml:space="preserve">B2B Trends
Modernizing B2B Integration
Future of B2B Integration (APIs for B2B / Cloud Based B2B / Block Chain / Devops etc.)
</t>
  </si>
  <si>
    <t>Sterling Integrator</t>
  </si>
  <si>
    <t>Introduction to B2B
EDI, Importance of Business Transactions
Buyer (Cutomer) , Supplier Concepts</t>
  </si>
  <si>
    <t>EDI Standards, Business Transcations flow basics with domain Examples</t>
  </si>
  <si>
    <t>B2B Sterling Integrator Architecture and Functions Overview</t>
  </si>
  <si>
    <t>Correlation EDI correlation
Central Search
 997 concept and Communication session, Resource Manager etc..</t>
  </si>
  <si>
    <t>Map Editor installation, Properties, usage. 
Creating new/opening the map and  Envelope concepts</t>
  </si>
  <si>
    <t>Codleists concept, Uploading the map versions &amp; downloading
 Lock concepts
Basic map rules - Linking , Creating Temporary Fields &amp; Groups
Standard and Extended Rules</t>
  </si>
  <si>
    <t>Advanced Mapping Topics ( Using Indices )
 Simple Map exercises</t>
  </si>
  <si>
    <t>Communication Protocols- Encryption Decryption Concepts, configuration steps- AS2, FTP, SFTP, Connect Direct</t>
  </si>
  <si>
    <t>Inbound Flow, Outbound Flow (BP) 
Introduction to Services, Adapters, Trouble shooting options</t>
  </si>
  <si>
    <t>Introduction to GPM, BPML Elements, Concepts
Simple BP flow creation- GPM/BPML</t>
  </si>
  <si>
    <t>Globalscape EFT</t>
  </si>
  <si>
    <t xml:space="preserve">Globalscape Overview
Technical Architecture Overview
Deployment Scenarios
Different Components of Globalscape - EFT, DMZ, ARM, AWE &amp; etc.
Admin User Management - Share the Admin User Name Password
Security Standards - SSL/SSH
Logs - EFT Logs, System Logs for EFT,  Custom Logs (If Any)
Alert Configuration for Administration
Certificate Management
PGP Key Management
User Creation Process
</t>
  </si>
  <si>
    <t xml:space="preserve">
Overview of Site Concept
Authentication Types used - AD/LDAP/EFT Authentication
Database Connections for ARM - Share the user name &amp; Password of DBA
Session on Protocols configured
Different Triggers in Globalscape
Event Rule Management - Cloning, Change, Deletion, Apply &amp; etc
</t>
  </si>
  <si>
    <t xml:space="preserve">Certificate Management
PGP Key Management
DMZ Overview
User/Group Management
User Templates - Home Directory, Connections &amp; Password Policy
DMZ Overview
Profile Configuration
Ports used between EFT &amp; DMZ
Firewalls/LANs
AWE
</t>
  </si>
  <si>
    <t xml:space="preserve">Tasks </t>
  </si>
  <si>
    <t>Description</t>
  </si>
  <si>
    <t>Introduction to Java EEUdemy</t>
  </si>
  <si>
    <t>In this 2 part course we'll go over the fundamentals of Java EE and learn how to package &amp; deploy an app.
Java Platform, Enterprise Edition (Java EE) is a widely used enterprise computing platform developed under the Java Community Process. The platform provides an API and runtime environment for developing and running enterprise software, including network and web services, and other large-scale, multi-tiered, scalable, reliable, and secure network applications.
This course will provide students with an overview of Java EE and will show some details of its programming model. You'll learn about what Java EE is, how it compares to the Java language, should you transition to it, and which type of application would benefit from it.
In part two of the course, you'll learn how to package &amp; deploy an app. We'll explain how to package your application correctly and reviews three different options: deployment to a local environment with glassfish, deploying to the cloud with Azure and AWS, and deploying to Docker containers. Learn about the typical uses and benefits of each option, so you can pick the best strategy for your workflow and your end user.</t>
  </si>
  <si>
    <t>https://cognizant.udemy.com/course/java-ee-fundamentals/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</si>
</sst>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d\-mmm\-yy;@"/>
    <numFmt numFmtId="166" formatCode="[h]:mm:ss;@"/>
    <numFmt numFmtId="167" formatCode="0.0_);[Red]\(0.0\)"/>
  </numFmts>
  <fonts count="82" x14ac:knownFonts="1">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
      <color indexed="12"/>
      <name val="Arial"/>
      <family val="2"/>
    </font>
    <font>
      <sz val="11"/>
      <color indexed="62"/>
      <name val="Calibri"/>
      <family val="2"/>
    </font>
    <font>
      <sz val="11"/>
      <color indexed="52"/>
      <name val="Calibri"/>
      <family val="2"/>
    </font>
    <font>
      <sz val="11"/>
      <color indexed="60"/>
      <name val="Calibri"/>
      <family val="2"/>
    </font>
    <font>
      <sz val="9"/>
      <name val="Sylfaen"/>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sz val="10"/>
      <color indexed="8"/>
      <name val="Calibri"/>
      <family val="2"/>
    </font>
    <font>
      <b/>
      <sz val="10"/>
      <name val="Arial"/>
      <family val="2"/>
    </font>
    <font>
      <sz val="10"/>
      <name val="Arial"/>
      <family val="2"/>
    </font>
    <font>
      <b/>
      <sz val="10"/>
      <color indexed="62"/>
      <name val="Calibri"/>
      <family val="2"/>
    </font>
    <font>
      <b/>
      <i/>
      <sz val="14"/>
      <color indexed="9"/>
      <name val="Calibri"/>
      <family val="2"/>
    </font>
    <font>
      <b/>
      <sz val="11"/>
      <color indexed="62"/>
      <name val="Calibri"/>
      <family val="2"/>
    </font>
    <font>
      <b/>
      <sz val="11"/>
      <color indexed="51"/>
      <name val="Calibri"/>
      <family val="2"/>
    </font>
    <font>
      <b/>
      <sz val="11"/>
      <color indexed="18"/>
      <name val="Calibri"/>
      <family val="2"/>
    </font>
    <font>
      <sz val="11"/>
      <color indexed="18"/>
      <name val="Calibri"/>
      <family val="2"/>
    </font>
    <font>
      <b/>
      <sz val="10"/>
      <color indexed="8"/>
      <name val="Calibri"/>
      <family val="2"/>
    </font>
    <font>
      <sz val="10"/>
      <color indexed="9"/>
      <name val="Calibri"/>
      <family val="2"/>
    </font>
    <font>
      <b/>
      <sz val="10"/>
      <color indexed="10"/>
      <name val="Calibri"/>
      <family val="2"/>
    </font>
    <font>
      <sz val="10"/>
      <name val="Calibri"/>
      <family val="2"/>
    </font>
    <font>
      <sz val="11"/>
      <color indexed="51"/>
      <name val="Calibri"/>
      <family val="2"/>
    </font>
    <font>
      <i/>
      <sz val="12"/>
      <color indexed="10"/>
      <name val="Calibri"/>
      <family val="2"/>
    </font>
    <font>
      <b/>
      <sz val="10"/>
      <color indexed="9"/>
      <name val="Calibri"/>
      <family val="2"/>
    </font>
    <font>
      <b/>
      <sz val="12"/>
      <color indexed="9"/>
      <name val="Calibri"/>
      <family val="2"/>
    </font>
    <font>
      <sz val="10"/>
      <color indexed="62"/>
      <name val="Calibri"/>
      <family val="2"/>
    </font>
    <font>
      <sz val="11"/>
      <color indexed="8"/>
      <name val="Calibri"/>
      <family val="2"/>
    </font>
    <font>
      <sz val="10"/>
      <color indexed="8"/>
      <name val="Calibri"/>
      <family val="2"/>
    </font>
    <font>
      <b/>
      <sz val="8"/>
      <color indexed="62"/>
      <name val="Calibri"/>
      <family val="2"/>
    </font>
    <font>
      <b/>
      <sz val="8"/>
      <color indexed="9"/>
      <name val="Calibri"/>
      <family val="2"/>
    </font>
    <font>
      <b/>
      <sz val="10"/>
      <color indexed="8"/>
      <name val="Arial"/>
      <family val="2"/>
    </font>
    <font>
      <b/>
      <sz val="8"/>
      <color indexed="10"/>
      <name val="Calibri"/>
      <family val="2"/>
    </font>
    <font>
      <sz val="11"/>
      <color indexed="8"/>
      <name val="Calibri"/>
      <family val="2"/>
    </font>
    <font>
      <b/>
      <sz val="18"/>
      <color indexed="9"/>
      <name val="Calibri"/>
      <family val="2"/>
    </font>
    <font>
      <sz val="8"/>
      <name val="Calibri"/>
      <family val="2"/>
    </font>
    <font>
      <sz val="8"/>
      <color indexed="62"/>
      <name val="Calibri"/>
      <family val="2"/>
    </font>
    <font>
      <sz val="10"/>
      <name val="Segoe UI"/>
      <family val="2"/>
    </font>
    <font>
      <sz val="11"/>
      <color theme="1"/>
      <name val="Calibri"/>
      <family val="2"/>
      <scheme val="minor"/>
    </font>
    <font>
      <b/>
      <sz val="11"/>
      <color theme="0"/>
      <name val="Calibri"/>
      <family val="2"/>
      <scheme val="minor"/>
    </font>
    <font>
      <sz val="11"/>
      <color rgb="FF006100"/>
      <name val="Calibri"/>
      <family val="2"/>
      <scheme val="minor"/>
    </font>
    <font>
      <u/>
      <sz val="11"/>
      <color theme="10"/>
      <name val="Calibri"/>
      <family val="2"/>
      <scheme val="minor"/>
    </font>
    <font>
      <u/>
      <sz val="11"/>
      <color theme="10"/>
      <name val="Calibri"/>
      <family val="2"/>
    </font>
    <font>
      <u/>
      <sz val="9.35"/>
      <color theme="10"/>
      <name val="Calibri"/>
      <family val="2"/>
    </font>
    <font>
      <sz val="10"/>
      <color theme="1"/>
      <name val="Arial"/>
      <family val="2"/>
    </font>
    <font>
      <sz val="8"/>
      <color theme="1"/>
      <name val="Calibri"/>
      <family val="2"/>
      <scheme val="minor"/>
    </font>
    <font>
      <sz val="8"/>
      <color theme="0"/>
      <name val="Calibri"/>
      <family val="2"/>
      <scheme val="minor"/>
    </font>
    <font>
      <sz val="8"/>
      <color theme="4" tint="-0.249977111117893"/>
      <name val="Calibri"/>
      <family val="2"/>
      <scheme val="minor"/>
    </font>
    <font>
      <u/>
      <sz val="9"/>
      <color theme="10"/>
      <name val="Calibri"/>
      <family val="2"/>
      <scheme val="minor"/>
    </font>
    <font>
      <sz val="9"/>
      <color theme="1"/>
      <name val="Calibri"/>
      <family val="2"/>
      <scheme val="minor"/>
    </font>
    <font>
      <sz val="9"/>
      <color theme="3"/>
      <name val="Calibri"/>
      <family val="2"/>
      <scheme val="minor"/>
    </font>
    <font>
      <sz val="9"/>
      <color theme="3"/>
      <name val="Calibri"/>
      <family val="2"/>
    </font>
    <font>
      <sz val="9"/>
      <color theme="4" tint="-0.499984740745262"/>
      <name val="Calibri"/>
      <family val="2"/>
    </font>
    <font>
      <b/>
      <sz val="8"/>
      <color theme="0"/>
      <name val="Calibri"/>
      <family val="2"/>
    </font>
    <font>
      <b/>
      <sz val="8"/>
      <color rgb="FF002060"/>
      <name val="Calibri"/>
      <family val="2"/>
    </font>
    <font>
      <b/>
      <sz val="10"/>
      <color theme="0"/>
      <name val="Calibri"/>
      <family val="2"/>
    </font>
    <font>
      <sz val="10"/>
      <color theme="0"/>
      <name val="Calibri"/>
      <family val="2"/>
    </font>
    <font>
      <b/>
      <sz val="10"/>
      <color theme="0"/>
      <name val="Calibri"/>
      <family val="2"/>
      <scheme val="minor"/>
    </font>
    <font>
      <b/>
      <sz val="10"/>
      <color indexed="9"/>
      <name val="Calibri"/>
      <family val="2"/>
      <scheme val="minor"/>
    </font>
    <font>
      <b/>
      <sz val="10"/>
      <color indexed="62"/>
      <name val="Calibri"/>
      <family val="2"/>
      <scheme val="minor"/>
    </font>
    <font>
      <b/>
      <sz val="10"/>
      <color indexed="8"/>
      <name val="Calibri"/>
      <family val="2"/>
      <scheme val="minor"/>
    </font>
    <font>
      <sz val="10"/>
      <color theme="1"/>
      <name val="Calibri"/>
      <family val="2"/>
      <scheme val="minor"/>
    </font>
    <font>
      <sz val="11"/>
      <color rgb="FF000000"/>
      <name val="Calibri"/>
      <family val="2"/>
      <scheme val="minor"/>
    </font>
    <font>
      <b/>
      <sz val="8"/>
      <color rgb="FF366092"/>
      <name val="Calibri"/>
      <family val="2"/>
      <scheme val="minor"/>
    </font>
    <font>
      <b/>
      <sz val="12"/>
      <color rgb="FFFFFFFF"/>
      <name val="Calibri"/>
      <family val="2"/>
      <scheme val="minor"/>
    </font>
    <font>
      <b/>
      <sz val="11"/>
      <name val="Calibri"/>
      <family val="2"/>
      <scheme val="minor"/>
    </font>
    <font>
      <b/>
      <i/>
      <sz val="9"/>
      <color theme="3"/>
      <name val="Calibri"/>
      <family val="2"/>
      <scheme val="minor"/>
    </font>
    <font>
      <b/>
      <sz val="11"/>
      <color theme="0"/>
      <name val="Calibri"/>
      <family val="2"/>
      <scheme val="minor"/>
    </font>
  </fonts>
  <fills count="4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0"/>
        <bgColor indexed="64"/>
      </patternFill>
    </fill>
    <fill>
      <patternFill patternType="solid">
        <fgColor indexed="11"/>
        <bgColor indexed="64"/>
      </patternFill>
    </fill>
    <fill>
      <patternFill patternType="solid">
        <fgColor indexed="17"/>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indexed="30"/>
        <bgColor indexed="64"/>
      </patternFill>
    </fill>
    <fill>
      <patternFill patternType="solid">
        <fgColor indexed="29"/>
        <bgColor indexed="64"/>
      </patternFill>
    </fill>
    <fill>
      <patternFill patternType="solid">
        <fgColor indexed="57"/>
        <bgColor indexed="64"/>
      </patternFill>
    </fill>
    <fill>
      <patternFill patternType="solid">
        <fgColor rgb="FFC6EFCE"/>
      </patternFill>
    </fill>
    <fill>
      <patternFill patternType="solid">
        <fgColor rgb="FFFFFFCC"/>
      </patternFill>
    </fill>
    <fill>
      <patternFill patternType="solid">
        <fgColor rgb="FF00B0F0"/>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2060"/>
        <bgColor indexed="64"/>
      </patternFill>
    </fill>
    <fill>
      <patternFill patternType="solid">
        <fgColor theme="4"/>
        <bgColor theme="4"/>
      </patternFill>
    </fill>
    <fill>
      <patternFill patternType="solid">
        <fgColor rgb="FFFFFFFF"/>
        <bgColor rgb="FF000000"/>
      </patternFill>
    </fill>
    <fill>
      <patternFill patternType="solid">
        <fgColor rgb="FF000048"/>
        <bgColor rgb="FF000000"/>
      </patternFill>
    </fill>
    <fill>
      <patternFill patternType="solid">
        <fgColor theme="2"/>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44"/>
      </left>
      <right style="thin">
        <color indexed="44"/>
      </right>
      <top style="thin">
        <color indexed="44"/>
      </top>
      <bottom style="medium">
        <color indexed="64"/>
      </bottom>
      <diagonal/>
    </border>
    <border>
      <left style="thin">
        <color indexed="44"/>
      </left>
      <right/>
      <top style="thin">
        <color indexed="44"/>
      </top>
      <bottom style="medium">
        <color indexed="64"/>
      </bottom>
      <diagonal/>
    </border>
    <border>
      <left style="thin">
        <color indexed="44"/>
      </left>
      <right style="thin">
        <color indexed="44"/>
      </right>
      <top/>
      <bottom style="thin">
        <color indexed="44"/>
      </bottom>
      <diagonal/>
    </border>
    <border>
      <left style="thin">
        <color indexed="44"/>
      </left>
      <right/>
      <top/>
      <bottom style="thin">
        <color indexed="44"/>
      </bottom>
      <diagonal/>
    </border>
    <border>
      <left style="thin">
        <color indexed="44"/>
      </left>
      <right style="thin">
        <color indexed="44"/>
      </right>
      <top style="thin">
        <color indexed="44"/>
      </top>
      <bottom style="thin">
        <color indexed="44"/>
      </bottom>
      <diagonal/>
    </border>
    <border>
      <left style="thin">
        <color indexed="49"/>
      </left>
      <right style="thin">
        <color indexed="49"/>
      </right>
      <top style="thin">
        <color indexed="49"/>
      </top>
      <bottom style="thin">
        <color indexed="4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44"/>
      </right>
      <top style="medium">
        <color indexed="64"/>
      </top>
      <bottom style="thin">
        <color indexed="4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medium">
        <color indexed="64"/>
      </top>
      <bottom style="thin">
        <color indexed="44"/>
      </bottom>
      <diagonal/>
    </border>
    <border>
      <left style="thin">
        <color indexed="44"/>
      </left>
      <right/>
      <top style="medium">
        <color indexed="64"/>
      </top>
      <bottom style="thin">
        <color indexed="44"/>
      </bottom>
      <diagonal/>
    </border>
    <border>
      <left style="thin">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s>
  <cellStyleXfs count="18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5" fillId="20" borderId="1" applyNumberFormat="0" applyAlignment="0" applyProtection="0"/>
    <xf numFmtId="0" fontId="6" fillId="21" borderId="2" applyNumberFormat="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7" fillId="0" borderId="0" applyNumberForma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54" fillId="3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55" fillId="0" borderId="0" applyNumberFormat="0" applyFill="0" applyBorder="0" applyAlignment="0" applyProtection="0"/>
    <xf numFmtId="0" fontId="12" fillId="0" borderId="0" applyNumberFormat="0" applyFill="0" applyBorder="0" applyAlignment="0" applyProtection="0">
      <alignment vertical="top"/>
      <protection locked="0"/>
    </xf>
    <xf numFmtId="165" fontId="56"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166"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52" fillId="0" borderId="0"/>
    <xf numFmtId="0" fontId="52" fillId="0" borderId="0"/>
    <xf numFmtId="165" fontId="2" fillId="0" borderId="0"/>
    <xf numFmtId="0" fontId="52" fillId="0" borderId="0"/>
    <xf numFmtId="165" fontId="2" fillId="0" borderId="0"/>
    <xf numFmtId="165" fontId="2" fillId="0" borderId="0"/>
    <xf numFmtId="165" fontId="2" fillId="0" borderId="0"/>
    <xf numFmtId="165" fontId="2" fillId="0" borderId="0"/>
    <xf numFmtId="0" fontId="1" fillId="0" borderId="0"/>
    <xf numFmtId="0" fontId="58" fillId="0" borderId="0"/>
    <xf numFmtId="0" fontId="1"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0" fontId="2" fillId="0" borderId="0"/>
    <xf numFmtId="0" fontId="16" fillId="0" borderId="0"/>
    <xf numFmtId="0" fontId="2" fillId="0" borderId="0"/>
    <xf numFmtId="0" fontId="2" fillId="0" borderId="0"/>
    <xf numFmtId="165" fontId="52" fillId="0" borderId="0"/>
    <xf numFmtId="165" fontId="52" fillId="0" borderId="0"/>
    <xf numFmtId="165" fontId="52" fillId="0" borderId="0"/>
    <xf numFmtId="165" fontId="52" fillId="0" borderId="0"/>
    <xf numFmtId="165" fontId="2" fillId="0" borderId="0"/>
    <xf numFmtId="0" fontId="25" fillId="0" borderId="0"/>
    <xf numFmtId="0" fontId="2" fillId="0" borderId="0"/>
    <xf numFmtId="0" fontId="52" fillId="0" borderId="0"/>
    <xf numFmtId="165" fontId="2" fillId="0" borderId="0"/>
    <xf numFmtId="0" fontId="2" fillId="0" borderId="0"/>
    <xf numFmtId="0" fontId="2" fillId="0" borderId="0"/>
    <xf numFmtId="165" fontId="2" fillId="0" borderId="0"/>
    <xf numFmtId="0" fontId="2" fillId="0" borderId="0"/>
    <xf numFmtId="165" fontId="2" fillId="0" borderId="0"/>
    <xf numFmtId="0" fontId="2" fillId="0" borderId="0"/>
    <xf numFmtId="0" fontId="2" fillId="0" borderId="0"/>
    <xf numFmtId="0" fontId="2" fillId="23" borderId="7" applyNumberFormat="0" applyFont="0" applyAlignment="0" applyProtection="0"/>
    <xf numFmtId="0" fontId="2" fillId="23" borderId="7" applyNumberFormat="0" applyFont="0" applyAlignment="0" applyProtection="0"/>
    <xf numFmtId="0" fontId="41" fillId="35" borderId="50" applyNumberFormat="0" applyFont="0" applyAlignment="0" applyProtection="0"/>
    <xf numFmtId="0" fontId="17" fillId="20" borderId="8" applyNumberFormat="0" applyAlignment="0" applyProtection="0"/>
    <xf numFmtId="0" fontId="17" fillId="20" borderId="8" applyNumberFormat="0" applyAlignment="0" applyProtection="0"/>
    <xf numFmtId="0" fontId="2" fillId="0" borderId="0"/>
    <xf numFmtId="165" fontId="2" fillId="0" borderId="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268">
    <xf numFmtId="0" fontId="0" fillId="0" borderId="0" xfId="0"/>
    <xf numFmtId="0" fontId="42" fillId="24" borderId="0" xfId="0" applyFont="1" applyFill="1" applyAlignment="1">
      <alignment vertical="center" wrapText="1"/>
    </xf>
    <xf numFmtId="0" fontId="23" fillId="0" borderId="10" xfId="67" applyFont="1" applyBorder="1" applyAlignment="1">
      <alignment horizontal="left" vertical="center" wrapText="1" indent="1" readingOrder="1"/>
    </xf>
    <xf numFmtId="0" fontId="42" fillId="0" borderId="0" xfId="0" applyFont="1" applyAlignment="1">
      <alignment horizontal="center" vertical="center" wrapText="1"/>
    </xf>
    <xf numFmtId="0" fontId="42" fillId="0" borderId="0" xfId="0" applyFont="1" applyAlignment="1">
      <alignment vertical="center" wrapText="1"/>
    </xf>
    <xf numFmtId="0" fontId="43" fillId="24" borderId="10" xfId="0" applyFont="1" applyFill="1" applyBorder="1" applyAlignment="1">
      <alignment vertical="center" wrapText="1"/>
    </xf>
    <xf numFmtId="0" fontId="43" fillId="24" borderId="10" xfId="0" applyFont="1" applyFill="1" applyBorder="1" applyAlignment="1">
      <alignment horizontal="center" vertical="center" wrapText="1"/>
    </xf>
    <xf numFmtId="0" fontId="44" fillId="25" borderId="10" xfId="0" applyFont="1" applyFill="1" applyBorder="1" applyAlignment="1">
      <alignment horizontal="center" vertical="center" wrapText="1"/>
    </xf>
    <xf numFmtId="0" fontId="45" fillId="26"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0" fillId="0" borderId="10" xfId="0" applyBorder="1"/>
    <xf numFmtId="0" fontId="43" fillId="24" borderId="13" xfId="0" applyFont="1" applyFill="1" applyBorder="1" applyAlignment="1">
      <alignment horizontal="center" vertical="center" wrapText="1"/>
    </xf>
    <xf numFmtId="0" fontId="46" fillId="24" borderId="10" xfId="0" applyFont="1" applyFill="1" applyBorder="1" applyAlignment="1">
      <alignment horizontal="center" vertical="center" wrapText="1"/>
    </xf>
    <xf numFmtId="0" fontId="45" fillId="0" borderId="10" xfId="0" applyFont="1" applyBorder="1" applyAlignment="1">
      <alignment horizontal="center" vertical="center" wrapText="1"/>
    </xf>
    <xf numFmtId="0" fontId="42" fillId="24" borderId="0" xfId="0" applyFont="1" applyFill="1" applyAlignment="1">
      <alignment horizontal="center" vertical="center" wrapText="1"/>
    </xf>
    <xf numFmtId="0" fontId="28" fillId="0" borderId="11" xfId="138" applyFont="1" applyBorder="1" applyAlignment="1">
      <alignment vertical="center"/>
    </xf>
    <xf numFmtId="0" fontId="29" fillId="0" borderId="0" xfId="138" applyFont="1" applyAlignment="1">
      <alignment horizontal="left" vertical="center"/>
    </xf>
    <xf numFmtId="0" fontId="29" fillId="0" borderId="0" xfId="138" applyFont="1" applyAlignment="1">
      <alignment horizontal="center" vertical="center"/>
    </xf>
    <xf numFmtId="0" fontId="30" fillId="0" borderId="11" xfId="138" applyFont="1" applyBorder="1" applyAlignment="1">
      <alignment vertical="center"/>
    </xf>
    <xf numFmtId="0" fontId="30" fillId="0" borderId="0" xfId="138" applyFont="1" applyAlignment="1">
      <alignment horizontal="left" vertical="center"/>
    </xf>
    <xf numFmtId="0" fontId="43" fillId="24" borderId="10" xfId="0" applyFont="1" applyFill="1" applyBorder="1" applyAlignment="1">
      <alignment horizontal="center" vertical="center"/>
    </xf>
    <xf numFmtId="0" fontId="47" fillId="0" borderId="0" xfId="0" applyFont="1"/>
    <xf numFmtId="0" fontId="35" fillId="0" borderId="0" xfId="51" applyFont="1" applyAlignment="1">
      <alignment vertical="center"/>
    </xf>
    <xf numFmtId="0" fontId="35" fillId="0" borderId="0" xfId="51" applyFont="1" applyAlignment="1">
      <alignment horizontal="center" vertical="center"/>
    </xf>
    <xf numFmtId="0" fontId="35" fillId="0" borderId="0" xfId="51" applyFont="1" applyAlignment="1">
      <alignment horizontal="center" vertical="center" wrapText="1"/>
    </xf>
    <xf numFmtId="0" fontId="47" fillId="0" borderId="0" xfId="0" applyFont="1" applyAlignment="1">
      <alignment horizontal="center" vertical="center" wrapText="1"/>
    </xf>
    <xf numFmtId="0" fontId="38" fillId="28" borderId="14" xfId="51" applyFont="1" applyFill="1" applyBorder="1" applyAlignment="1">
      <alignment horizontal="center" vertical="center" wrapText="1"/>
    </xf>
    <xf numFmtId="0" fontId="38" fillId="28" borderId="15" xfId="51" applyFont="1" applyFill="1" applyBorder="1" applyAlignment="1">
      <alignment horizontal="center" vertical="center" wrapText="1"/>
    </xf>
    <xf numFmtId="0" fontId="47" fillId="0" borderId="0" xfId="0" applyFont="1" applyAlignment="1">
      <alignment horizontal="center" vertical="center"/>
    </xf>
    <xf numFmtId="0" fontId="26" fillId="29" borderId="16" xfId="51" applyFont="1" applyFill="1" applyBorder="1" applyAlignment="1">
      <alignment horizontal="center" vertical="center" wrapText="1"/>
    </xf>
    <xf numFmtId="0" fontId="32" fillId="29" borderId="16" xfId="51" applyFont="1" applyFill="1" applyBorder="1" applyAlignment="1">
      <alignment horizontal="left" vertical="center" wrapText="1"/>
    </xf>
    <xf numFmtId="0" fontId="32" fillId="29" borderId="16" xfId="51" applyFont="1" applyFill="1" applyBorder="1" applyAlignment="1">
      <alignment horizontal="center" vertical="center" wrapText="1"/>
    </xf>
    <xf numFmtId="0" fontId="35" fillId="29" borderId="17" xfId="51" applyFont="1" applyFill="1" applyBorder="1" applyAlignment="1">
      <alignment horizontal="center" vertical="center"/>
    </xf>
    <xf numFmtId="0" fontId="26" fillId="0" borderId="18" xfId="51" applyFont="1" applyBorder="1" applyAlignment="1">
      <alignment horizontal="center" vertical="center" wrapText="1"/>
    </xf>
    <xf numFmtId="0" fontId="32" fillId="0" borderId="16" xfId="51" applyFont="1" applyBorder="1" applyAlignment="1">
      <alignment horizontal="left" vertical="center" wrapText="1"/>
    </xf>
    <xf numFmtId="0" fontId="32" fillId="0" borderId="16" xfId="51" applyFont="1" applyBorder="1" applyAlignment="1">
      <alignment horizontal="center" vertical="center" wrapText="1"/>
    </xf>
    <xf numFmtId="0" fontId="35" fillId="0" borderId="16" xfId="51" applyFont="1" applyBorder="1" applyAlignment="1">
      <alignment horizontal="center" vertical="center"/>
    </xf>
    <xf numFmtId="0" fontId="32" fillId="30" borderId="16" xfId="51" applyFont="1" applyFill="1" applyBorder="1" applyAlignment="1">
      <alignment horizontal="left" vertical="center"/>
    </xf>
    <xf numFmtId="0" fontId="32" fillId="30" borderId="16" xfId="51" applyFont="1" applyFill="1" applyBorder="1" applyAlignment="1">
      <alignment horizontal="right" vertical="center"/>
    </xf>
    <xf numFmtId="0" fontId="32" fillId="30" borderId="16" xfId="51" applyFont="1" applyFill="1" applyBorder="1" applyAlignment="1">
      <alignment horizontal="center" vertical="center"/>
    </xf>
    <xf numFmtId="0" fontId="47" fillId="0" borderId="0" xfId="0" applyFont="1" applyAlignment="1">
      <alignment vertical="center"/>
    </xf>
    <xf numFmtId="0" fontId="35" fillId="0" borderId="0" xfId="51" applyFont="1" applyAlignment="1">
      <alignment horizontal="left" vertical="center"/>
    </xf>
    <xf numFmtId="0" fontId="32" fillId="30" borderId="19" xfId="165" applyFont="1" applyFill="1" applyBorder="1" applyAlignment="1">
      <alignment horizontal="right" vertical="center"/>
    </xf>
    <xf numFmtId="2" fontId="32" fillId="30" borderId="19" xfId="165" applyNumberFormat="1" applyFont="1" applyFill="1" applyBorder="1" applyAlignment="1">
      <alignment horizontal="right" vertical="center"/>
    </xf>
    <xf numFmtId="0" fontId="36" fillId="0" borderId="0" xfId="138" applyFont="1" applyAlignment="1">
      <alignment horizontal="left" vertical="center"/>
    </xf>
    <xf numFmtId="0" fontId="31" fillId="0" borderId="0" xfId="138" applyFont="1" applyAlignment="1">
      <alignment horizontal="left" vertical="center"/>
    </xf>
    <xf numFmtId="0" fontId="23" fillId="29" borderId="16" xfId="51" applyFont="1" applyFill="1" applyBorder="1" applyAlignment="1">
      <alignment horizontal="left" vertical="center" wrapText="1"/>
    </xf>
    <xf numFmtId="0" fontId="23" fillId="0" borderId="16" xfId="51" applyFont="1" applyBorder="1" applyAlignment="1">
      <alignment horizontal="left" vertical="center" wrapText="1"/>
    </xf>
    <xf numFmtId="0" fontId="35" fillId="0" borderId="20" xfId="51" applyFont="1" applyBorder="1" applyAlignment="1">
      <alignment vertical="center"/>
    </xf>
    <xf numFmtId="0" fontId="35" fillId="0" borderId="21" xfId="51" applyFont="1" applyBorder="1" applyAlignment="1">
      <alignment horizontal="left" vertical="center"/>
    </xf>
    <xf numFmtId="0" fontId="35" fillId="0" borderId="21" xfId="51" applyFont="1" applyBorder="1" applyAlignment="1">
      <alignment horizontal="center" vertical="center"/>
    </xf>
    <xf numFmtId="0" fontId="35" fillId="0" borderId="22" xfId="51" applyFont="1" applyBorder="1" applyAlignment="1">
      <alignment horizontal="center" vertical="center"/>
    </xf>
    <xf numFmtId="0" fontId="35" fillId="0" borderId="11" xfId="51" applyFont="1" applyBorder="1" applyAlignment="1">
      <alignment vertical="center"/>
    </xf>
    <xf numFmtId="0" fontId="40" fillId="0" borderId="0" xfId="51" applyFont="1" applyAlignment="1">
      <alignment horizontal="left" vertical="center" wrapText="1"/>
    </xf>
    <xf numFmtId="0" fontId="40" fillId="0" borderId="0" xfId="51" applyFont="1" applyAlignment="1">
      <alignment horizontal="center" vertical="center"/>
    </xf>
    <xf numFmtId="0" fontId="35" fillId="0" borderId="12" xfId="51" applyFont="1" applyBorder="1" applyAlignment="1">
      <alignment horizontal="center" vertical="center"/>
    </xf>
    <xf numFmtId="0" fontId="40" fillId="0" borderId="0" xfId="51" applyFont="1" applyAlignment="1">
      <alignment horizontal="left" vertical="center"/>
    </xf>
    <xf numFmtId="0" fontId="35" fillId="0" borderId="23" xfId="51" applyFont="1" applyBorder="1" applyAlignment="1">
      <alignment vertical="center"/>
    </xf>
    <xf numFmtId="0" fontId="35" fillId="0" borderId="24" xfId="51" applyFont="1" applyBorder="1" applyAlignment="1">
      <alignment horizontal="left" vertical="center"/>
    </xf>
    <xf numFmtId="0" fontId="35" fillId="0" borderId="24" xfId="51" applyFont="1" applyBorder="1" applyAlignment="1">
      <alignment horizontal="center" vertical="center"/>
    </xf>
    <xf numFmtId="0" fontId="35" fillId="0" borderId="25" xfId="51" applyFont="1" applyBorder="1" applyAlignment="1">
      <alignment horizontal="center" vertical="center"/>
    </xf>
    <xf numFmtId="0" fontId="38" fillId="28" borderId="14" xfId="67" applyFont="1" applyFill="1" applyBorder="1" applyAlignment="1">
      <alignment horizontal="center" vertical="center" wrapText="1"/>
    </xf>
    <xf numFmtId="0" fontId="38" fillId="28" borderId="15" xfId="67" applyFont="1" applyFill="1" applyBorder="1" applyAlignment="1">
      <alignment horizontal="center" vertical="center" wrapText="1"/>
    </xf>
    <xf numFmtId="0" fontId="26" fillId="29" borderId="16" xfId="67" applyFont="1" applyFill="1" applyBorder="1" applyAlignment="1">
      <alignment horizontal="center" vertical="center" wrapText="1"/>
    </xf>
    <xf numFmtId="0" fontId="32" fillId="29" borderId="16" xfId="67" applyFont="1" applyFill="1" applyBorder="1" applyAlignment="1">
      <alignment horizontal="left" vertical="center" wrapText="1"/>
    </xf>
    <xf numFmtId="0" fontId="32" fillId="29" borderId="16" xfId="67" applyFont="1" applyFill="1" applyBorder="1" applyAlignment="1">
      <alignment horizontal="center" vertical="center" wrapText="1"/>
    </xf>
    <xf numFmtId="0" fontId="35" fillId="29" borderId="17" xfId="67" applyFont="1" applyFill="1" applyBorder="1" applyAlignment="1">
      <alignment horizontal="center" vertical="center"/>
    </xf>
    <xf numFmtId="0" fontId="26" fillId="0" borderId="18" xfId="67" applyFont="1" applyBorder="1" applyAlignment="1">
      <alignment horizontal="center" vertical="center" wrapText="1"/>
    </xf>
    <xf numFmtId="0" fontId="32" fillId="0" borderId="16" xfId="67" applyFont="1" applyBorder="1" applyAlignment="1">
      <alignment horizontal="left" vertical="center" wrapText="1"/>
    </xf>
    <xf numFmtId="0" fontId="32" fillId="0" borderId="16" xfId="67" applyFont="1" applyBorder="1" applyAlignment="1">
      <alignment horizontal="center" vertical="center" wrapText="1"/>
    </xf>
    <xf numFmtId="0" fontId="35" fillId="0" borderId="16" xfId="67" applyFont="1" applyBorder="1" applyAlignment="1">
      <alignment horizontal="center" vertical="center"/>
    </xf>
    <xf numFmtId="0" fontId="32" fillId="30" borderId="16" xfId="67" applyFont="1" applyFill="1" applyBorder="1" applyAlignment="1">
      <alignment horizontal="left" vertical="center"/>
    </xf>
    <xf numFmtId="0" fontId="32" fillId="30" borderId="16" xfId="67" applyFont="1" applyFill="1" applyBorder="1" applyAlignment="1">
      <alignment horizontal="center" vertical="center"/>
    </xf>
    <xf numFmtId="0" fontId="35" fillId="0" borderId="17" xfId="67" applyFont="1" applyBorder="1" applyAlignment="1">
      <alignment horizontal="center" vertical="center"/>
    </xf>
    <xf numFmtId="0" fontId="32" fillId="30" borderId="16" xfId="67" applyFont="1" applyFill="1" applyBorder="1" applyAlignment="1">
      <alignment horizontal="right" vertical="center"/>
    </xf>
    <xf numFmtId="0" fontId="26" fillId="0" borderId="0" xfId="67" applyFont="1" applyAlignment="1">
      <alignment horizontal="center" vertical="center" wrapText="1"/>
    </xf>
    <xf numFmtId="0" fontId="32" fillId="0" borderId="0" xfId="67" applyFont="1" applyAlignment="1">
      <alignment horizontal="left" vertical="center" wrapText="1"/>
    </xf>
    <xf numFmtId="0" fontId="32" fillId="0" borderId="0" xfId="67" applyFont="1" applyAlignment="1">
      <alignment horizontal="center" vertical="center" wrapText="1"/>
    </xf>
    <xf numFmtId="0" fontId="35" fillId="0" borderId="0" xfId="67" applyFont="1" applyAlignment="1">
      <alignment horizontal="center" vertical="center"/>
    </xf>
    <xf numFmtId="0" fontId="26" fillId="0" borderId="0" xfId="51" applyFont="1" applyAlignment="1">
      <alignment horizontal="center" vertical="center" wrapText="1"/>
    </xf>
    <xf numFmtId="0" fontId="32" fillId="0" borderId="0" xfId="51" applyFont="1" applyAlignment="1">
      <alignment horizontal="left" vertical="center" wrapText="1"/>
    </xf>
    <xf numFmtId="0" fontId="32" fillId="0" borderId="0" xfId="51" applyFont="1" applyAlignment="1">
      <alignment horizontal="center" vertical="center" wrapText="1"/>
    </xf>
    <xf numFmtId="0" fontId="33" fillId="31" borderId="26" xfId="51" applyFont="1" applyFill="1" applyBorder="1" applyAlignment="1">
      <alignment vertical="center"/>
    </xf>
    <xf numFmtId="0" fontId="35" fillId="31" borderId="27" xfId="51" applyFont="1" applyFill="1" applyBorder="1" applyAlignment="1">
      <alignment horizontal="left" vertical="center"/>
    </xf>
    <xf numFmtId="0" fontId="35" fillId="31" borderId="27" xfId="51" applyFont="1" applyFill="1" applyBorder="1" applyAlignment="1">
      <alignment horizontal="center" vertical="center"/>
    </xf>
    <xf numFmtId="0" fontId="23" fillId="0" borderId="0" xfId="51" applyFont="1" applyAlignment="1">
      <alignment horizontal="left" vertical="center" wrapText="1"/>
    </xf>
    <xf numFmtId="0" fontId="23" fillId="0" borderId="16" xfId="67" applyFont="1" applyBorder="1" applyAlignment="1">
      <alignment horizontal="left" vertical="center" wrapText="1"/>
    </xf>
    <xf numFmtId="0" fontId="23" fillId="30" borderId="16" xfId="67" applyFont="1" applyFill="1" applyBorder="1" applyAlignment="1">
      <alignment horizontal="right" vertical="center"/>
    </xf>
    <xf numFmtId="0" fontId="23" fillId="29" borderId="16" xfId="67" applyFont="1" applyFill="1" applyBorder="1" applyAlignment="1">
      <alignment horizontal="left" vertical="center" wrapText="1"/>
    </xf>
    <xf numFmtId="0" fontId="23" fillId="0" borderId="16" xfId="67" applyFont="1" applyBorder="1" applyAlignment="1">
      <alignment horizontal="center" vertical="center" wrapText="1"/>
    </xf>
    <xf numFmtId="0" fontId="23" fillId="30" borderId="16" xfId="67" applyFont="1" applyFill="1" applyBorder="1" applyAlignment="1">
      <alignment horizontal="left" vertical="center"/>
    </xf>
    <xf numFmtId="0" fontId="23" fillId="29" borderId="16" xfId="67" applyFont="1" applyFill="1" applyBorder="1" applyAlignment="1">
      <alignment horizontal="center" vertical="center" wrapText="1"/>
    </xf>
    <xf numFmtId="0" fontId="47" fillId="0" borderId="0" xfId="0" applyFont="1" applyAlignment="1">
      <alignment horizontal="left" vertical="center"/>
    </xf>
    <xf numFmtId="0" fontId="23" fillId="0" borderId="16" xfId="67" applyFont="1" applyBorder="1" applyAlignment="1">
      <alignment horizontal="left" vertical="center" wrapText="1" indent="1"/>
    </xf>
    <xf numFmtId="0" fontId="26" fillId="0" borderId="16" xfId="67" applyFont="1" applyBorder="1" applyAlignment="1">
      <alignment horizontal="center" vertical="center" wrapText="1"/>
    </xf>
    <xf numFmtId="0" fontId="23" fillId="0" borderId="16" xfId="67" applyFont="1" applyBorder="1" applyAlignment="1">
      <alignment horizontal="left" vertical="center" wrapText="1" indent="2"/>
    </xf>
    <xf numFmtId="0" fontId="23" fillId="0" borderId="10" xfId="0" applyFont="1" applyBorder="1" applyAlignment="1">
      <alignment horizontal="center" wrapText="1"/>
    </xf>
    <xf numFmtId="0" fontId="59" fillId="0" borderId="0" xfId="0" applyFont="1" applyAlignment="1">
      <alignment horizontal="left"/>
    </xf>
    <xf numFmtId="0" fontId="60" fillId="36" borderId="29" xfId="0" applyFont="1" applyFill="1" applyBorder="1" applyAlignment="1">
      <alignment horizontal="left"/>
    </xf>
    <xf numFmtId="0" fontId="60" fillId="36" borderId="30" xfId="0" applyFont="1" applyFill="1" applyBorder="1" applyAlignment="1">
      <alignment horizontal="left"/>
    </xf>
    <xf numFmtId="0" fontId="61" fillId="37" borderId="10" xfId="0" applyFont="1" applyFill="1" applyBorder="1" applyAlignment="1">
      <alignment horizontal="left" wrapText="1"/>
    </xf>
    <xf numFmtId="0" fontId="61" fillId="0" borderId="10" xfId="0" applyFont="1" applyBorder="1" applyAlignment="1">
      <alignment horizontal="left" wrapText="1"/>
    </xf>
    <xf numFmtId="0" fontId="61" fillId="37" borderId="10" xfId="0" applyFont="1" applyFill="1" applyBorder="1" applyAlignment="1">
      <alignment horizontal="left"/>
    </xf>
    <xf numFmtId="0" fontId="59" fillId="0" borderId="10" xfId="0" applyFont="1" applyBorder="1" applyAlignment="1">
      <alignment horizontal="left" wrapText="1"/>
    </xf>
    <xf numFmtId="0" fontId="59" fillId="0" borderId="0" xfId="0" applyFont="1" applyAlignment="1">
      <alignment horizontal="left" wrapText="1"/>
    </xf>
    <xf numFmtId="0" fontId="60" fillId="36" borderId="31" xfId="0" applyFont="1" applyFill="1" applyBorder="1" applyAlignment="1">
      <alignment horizontal="left"/>
    </xf>
    <xf numFmtId="0" fontId="60" fillId="36" borderId="32" xfId="0" applyFont="1" applyFill="1" applyBorder="1" applyAlignment="1">
      <alignment horizontal="left"/>
    </xf>
    <xf numFmtId="0" fontId="59" fillId="37" borderId="0" xfId="0" applyFont="1" applyFill="1" applyAlignment="1">
      <alignment horizontal="left"/>
    </xf>
    <xf numFmtId="0" fontId="59" fillId="38" borderId="10" xfId="0" applyFont="1" applyFill="1" applyBorder="1" applyAlignment="1">
      <alignment horizontal="left"/>
    </xf>
    <xf numFmtId="167" fontId="59" fillId="39" borderId="33" xfId="0" applyNumberFormat="1" applyFont="1" applyFill="1" applyBorder="1" applyAlignment="1">
      <alignment horizontal="left"/>
    </xf>
    <xf numFmtId="0" fontId="61" fillId="37" borderId="0" xfId="0" applyFont="1" applyFill="1" applyAlignment="1">
      <alignment horizontal="left"/>
    </xf>
    <xf numFmtId="0" fontId="50" fillId="24" borderId="10" xfId="0" applyFont="1" applyFill="1" applyBorder="1" applyAlignment="1">
      <alignment horizontal="left" vertical="center" wrapText="1"/>
    </xf>
    <xf numFmtId="0" fontId="50" fillId="24" borderId="10" xfId="0" applyFont="1" applyFill="1" applyBorder="1" applyAlignment="1">
      <alignment horizontal="left" vertical="center"/>
    </xf>
    <xf numFmtId="0" fontId="23" fillId="24" borderId="10" xfId="0" applyFont="1" applyFill="1" applyBorder="1" applyAlignment="1">
      <alignment horizontal="left" vertical="center" wrapText="1"/>
    </xf>
    <xf numFmtId="0" fontId="23" fillId="0" borderId="0" xfId="0" applyFont="1" applyAlignment="1">
      <alignment horizontal="left" vertical="center" wrapText="1"/>
    </xf>
    <xf numFmtId="0" fontId="50" fillId="24" borderId="34" xfId="0" applyFont="1" applyFill="1" applyBorder="1" applyAlignment="1">
      <alignment horizontal="left" vertical="center" wrapText="1"/>
    </xf>
    <xf numFmtId="0" fontId="50" fillId="24" borderId="34" xfId="0" applyFont="1" applyFill="1" applyBorder="1" applyAlignment="1">
      <alignment horizontal="left" vertical="center"/>
    </xf>
    <xf numFmtId="0" fontId="23" fillId="24" borderId="28" xfId="0" applyFont="1" applyFill="1" applyBorder="1" applyAlignment="1">
      <alignment horizontal="left" vertical="center" wrapText="1"/>
    </xf>
    <xf numFmtId="0" fontId="43" fillId="0" borderId="10" xfId="0" applyFont="1" applyBorder="1" applyAlignment="1">
      <alignment horizontal="center" vertical="center"/>
    </xf>
    <xf numFmtId="0" fontId="0" fillId="40" borderId="0" xfId="0" applyFill="1"/>
    <xf numFmtId="0" fontId="0" fillId="37" borderId="0" xfId="0" applyFill="1"/>
    <xf numFmtId="0" fontId="43" fillId="24" borderId="13" xfId="0" applyFont="1" applyFill="1" applyBorder="1" applyAlignment="1">
      <alignment vertical="center" wrapText="1"/>
    </xf>
    <xf numFmtId="0" fontId="43" fillId="24" borderId="13" xfId="0" applyFont="1" applyFill="1" applyBorder="1" applyAlignment="1">
      <alignment horizontal="center" vertical="center"/>
    </xf>
    <xf numFmtId="0" fontId="35" fillId="0" borderId="0" xfId="0" applyFont="1" applyAlignment="1">
      <alignment horizontal="center" vertical="center" wrapText="1"/>
    </xf>
    <xf numFmtId="0" fontId="35" fillId="0" borderId="0" xfId="0" applyFont="1" applyAlignment="1">
      <alignment vertical="center" wrapText="1"/>
    </xf>
    <xf numFmtId="0" fontId="35" fillId="24" borderId="0" xfId="0" applyFont="1" applyFill="1" applyAlignment="1">
      <alignment vertical="center" wrapText="1"/>
    </xf>
    <xf numFmtId="0" fontId="35" fillId="24" borderId="0" xfId="0" applyFont="1" applyFill="1" applyAlignment="1">
      <alignment horizontal="center" vertical="center" wrapText="1"/>
    </xf>
    <xf numFmtId="0" fontId="55" fillId="0" borderId="0" xfId="40"/>
    <xf numFmtId="0" fontId="55" fillId="0" borderId="10" xfId="40" applyBorder="1"/>
    <xf numFmtId="0" fontId="62" fillId="0" borderId="10" xfId="40" applyFont="1" applyBorder="1" applyAlignment="1">
      <alignment horizontal="left"/>
    </xf>
    <xf numFmtId="0" fontId="63" fillId="0" borderId="0" xfId="0" applyFont="1"/>
    <xf numFmtId="0" fontId="64" fillId="37" borderId="10" xfId="0" applyFont="1" applyFill="1" applyBorder="1" applyAlignment="1">
      <alignment horizontal="left" vertical="center"/>
    </xf>
    <xf numFmtId="0" fontId="64" fillId="37" borderId="10" xfId="0" applyFont="1" applyFill="1" applyBorder="1" applyAlignment="1">
      <alignment horizontal="left" vertical="center" wrapText="1"/>
    </xf>
    <xf numFmtId="0" fontId="65" fillId="37" borderId="10" xfId="0" applyFont="1" applyFill="1" applyBorder="1" applyAlignment="1">
      <alignment horizontal="left" vertical="center" wrapText="1"/>
    </xf>
    <xf numFmtId="0" fontId="66" fillId="0" borderId="10" xfId="0" applyFont="1" applyBorder="1" applyAlignment="1">
      <alignment horizontal="left" vertical="center" wrapText="1"/>
    </xf>
    <xf numFmtId="0" fontId="55" fillId="0" borderId="0" xfId="40" applyAlignment="1">
      <alignment wrapText="1"/>
    </xf>
    <xf numFmtId="0" fontId="67" fillId="41" borderId="10" xfId="0" applyFont="1" applyFill="1" applyBorder="1" applyAlignment="1">
      <alignment horizontal="center" vertical="center" wrapText="1"/>
    </xf>
    <xf numFmtId="0" fontId="68" fillId="24" borderId="10" xfId="0" applyFont="1" applyFill="1" applyBorder="1" applyAlignment="1">
      <alignment horizontal="center" vertical="center" wrapText="1"/>
    </xf>
    <xf numFmtId="0" fontId="68" fillId="0" borderId="10" xfId="0" applyFont="1" applyBorder="1" applyAlignment="1">
      <alignment horizontal="center" vertical="center"/>
    </xf>
    <xf numFmtId="0" fontId="68" fillId="0" borderId="10" xfId="0" applyFont="1" applyBorder="1" applyAlignment="1">
      <alignment horizontal="center" vertical="center" wrapText="1"/>
    </xf>
    <xf numFmtId="0" fontId="69" fillId="41" borderId="13" xfId="0" applyFont="1" applyFill="1" applyBorder="1" applyAlignment="1">
      <alignment horizontal="center" vertical="center" wrapText="1"/>
    </xf>
    <xf numFmtId="0" fontId="70" fillId="41" borderId="13" xfId="0" applyFont="1" applyFill="1" applyBorder="1" applyAlignment="1">
      <alignment vertical="center" wrapText="1"/>
    </xf>
    <xf numFmtId="0" fontId="69" fillId="41" borderId="10" xfId="0" applyFont="1" applyFill="1" applyBorder="1" applyAlignment="1">
      <alignment horizontal="center" vertical="center" wrapText="1"/>
    </xf>
    <xf numFmtId="0" fontId="70" fillId="41" borderId="10" xfId="0" applyFont="1" applyFill="1" applyBorder="1" applyAlignment="1">
      <alignment vertical="center" wrapText="1"/>
    </xf>
    <xf numFmtId="0" fontId="55" fillId="0" borderId="13" xfId="40" applyBorder="1" applyAlignment="1">
      <alignment horizontal="left"/>
    </xf>
    <xf numFmtId="0" fontId="0" fillId="0" borderId="10" xfId="0" applyBorder="1" applyAlignment="1">
      <alignment wrapText="1"/>
    </xf>
    <xf numFmtId="0" fontId="0" fillId="0" borderId="10" xfId="0" applyBorder="1" applyAlignment="1">
      <alignment horizontal="left" vertical="center" wrapText="1" indent="1"/>
    </xf>
    <xf numFmtId="0" fontId="55" fillId="0" borderId="10" xfId="40" applyBorder="1" applyAlignment="1"/>
    <xf numFmtId="0" fontId="55" fillId="0" borderId="10" xfId="40" applyBorder="1" applyAlignment="1">
      <alignment horizontal="left" vertical="center" wrapText="1" indent="1"/>
    </xf>
    <xf numFmtId="0" fontId="0" fillId="0" borderId="35" xfId="0" applyBorder="1" applyAlignment="1">
      <alignment horizontal="left" vertical="center" wrapText="1" indent="1"/>
    </xf>
    <xf numFmtId="0" fontId="51" fillId="0" borderId="10" xfId="0" applyFont="1" applyBorder="1" applyAlignment="1">
      <alignment vertical="center" wrapText="1"/>
    </xf>
    <xf numFmtId="0" fontId="71" fillId="42" borderId="10" xfId="0" applyFont="1" applyFill="1" applyBorder="1" applyAlignment="1">
      <alignment vertical="top"/>
    </xf>
    <xf numFmtId="0" fontId="71" fillId="42" borderId="10" xfId="0" applyFont="1" applyFill="1" applyBorder="1" applyAlignment="1">
      <alignment horizontal="left" vertical="top"/>
    </xf>
    <xf numFmtId="0" fontId="71" fillId="42" borderId="10" xfId="0" applyFont="1" applyFill="1" applyBorder="1" applyAlignment="1">
      <alignment horizontal="left" vertical="top" wrapText="1"/>
    </xf>
    <xf numFmtId="0" fontId="72" fillId="28" borderId="10" xfId="165" applyFont="1" applyFill="1" applyBorder="1" applyAlignment="1">
      <alignment horizontal="center" vertical="center"/>
    </xf>
    <xf numFmtId="0" fontId="72" fillId="28" borderId="10" xfId="165" applyFont="1" applyFill="1" applyBorder="1" applyAlignment="1">
      <alignment horizontal="center" vertical="center" wrapText="1"/>
    </xf>
    <xf numFmtId="0" fontId="72" fillId="28" borderId="10" xfId="165" applyFont="1" applyFill="1" applyBorder="1" applyAlignment="1">
      <alignment horizontal="center" wrapText="1"/>
    </xf>
    <xf numFmtId="0" fontId="73" fillId="0" borderId="10" xfId="165" applyFont="1" applyBorder="1" applyAlignment="1">
      <alignment horizontal="center" vertical="center"/>
    </xf>
    <xf numFmtId="0" fontId="74" fillId="40" borderId="10" xfId="165" applyFont="1" applyFill="1" applyBorder="1" applyAlignment="1">
      <alignment horizontal="center" vertical="center"/>
    </xf>
    <xf numFmtId="0" fontId="75" fillId="0" borderId="10" xfId="0" applyFont="1" applyBorder="1" applyAlignment="1">
      <alignment horizontal="center" vertical="center"/>
    </xf>
    <xf numFmtId="0" fontId="75" fillId="0" borderId="10" xfId="0" applyFont="1" applyBorder="1" applyAlignment="1">
      <alignment horizontal="left" vertical="center" wrapText="1"/>
    </xf>
    <xf numFmtId="0" fontId="76" fillId="0" borderId="0" xfId="0" applyFont="1" applyAlignment="1">
      <alignment vertical="center"/>
    </xf>
    <xf numFmtId="0" fontId="55" fillId="0" borderId="0" xfId="40" applyAlignment="1">
      <alignment vertical="center" wrapText="1"/>
    </xf>
    <xf numFmtId="0" fontId="77" fillId="0" borderId="10" xfId="0" applyFont="1" applyBorder="1" applyAlignment="1">
      <alignment horizontal="center" vertical="center" wrapText="1"/>
    </xf>
    <xf numFmtId="0" fontId="77" fillId="43" borderId="10" xfId="0" applyFont="1" applyFill="1" applyBorder="1" applyAlignment="1">
      <alignment horizontal="center" vertical="center" wrapText="1"/>
    </xf>
    <xf numFmtId="0" fontId="76" fillId="0" borderId="0" xfId="0" applyFont="1" applyAlignment="1">
      <alignment vertical="top"/>
    </xf>
    <xf numFmtId="0" fontId="78" fillId="44" borderId="36" xfId="0" applyFont="1" applyFill="1" applyBorder="1" applyAlignment="1">
      <alignment vertical="top"/>
    </xf>
    <xf numFmtId="0" fontId="78" fillId="44" borderId="25" xfId="0" applyFont="1" applyFill="1" applyBorder="1" applyAlignment="1">
      <alignment vertical="top" wrapText="1"/>
    </xf>
    <xf numFmtId="0" fontId="76" fillId="43" borderId="36" xfId="0" applyFont="1" applyFill="1" applyBorder="1" applyAlignment="1">
      <alignment vertical="top"/>
    </xf>
    <xf numFmtId="0" fontId="76" fillId="43" borderId="25" xfId="0" applyFont="1" applyFill="1" applyBorder="1" applyAlignment="1">
      <alignment vertical="top" wrapText="1"/>
    </xf>
    <xf numFmtId="0" fontId="78" fillId="43" borderId="0" xfId="0" applyFont="1" applyFill="1" applyAlignment="1">
      <alignment vertical="top" wrapText="1"/>
    </xf>
    <xf numFmtId="0" fontId="78" fillId="44" borderId="37" xfId="0" applyFont="1" applyFill="1" applyBorder="1" applyAlignment="1">
      <alignment vertical="top"/>
    </xf>
    <xf numFmtId="0" fontId="78" fillId="44" borderId="13" xfId="0" applyFont="1" applyFill="1" applyBorder="1" applyAlignment="1">
      <alignment vertical="top" wrapText="1"/>
    </xf>
    <xf numFmtId="0" fontId="76" fillId="43" borderId="10" xfId="0" applyFont="1" applyFill="1" applyBorder="1" applyAlignment="1">
      <alignment vertical="top" wrapText="1"/>
    </xf>
    <xf numFmtId="0" fontId="76" fillId="43" borderId="38" xfId="0" applyFont="1" applyFill="1" applyBorder="1" applyAlignment="1">
      <alignment vertical="top" wrapText="1"/>
    </xf>
    <xf numFmtId="0" fontId="76" fillId="43" borderId="13" xfId="0" applyFont="1" applyFill="1" applyBorder="1" applyAlignment="1">
      <alignment vertical="top" wrapText="1"/>
    </xf>
    <xf numFmtId="0" fontId="76" fillId="43" borderId="39" xfId="0" applyFont="1" applyFill="1" applyBorder="1" applyAlignment="1">
      <alignment vertical="top" wrapText="1"/>
    </xf>
    <xf numFmtId="0" fontId="53" fillId="41" borderId="10" xfId="0" applyFont="1" applyFill="1" applyBorder="1" applyAlignment="1">
      <alignment horizontal="center"/>
    </xf>
    <xf numFmtId="0" fontId="55" fillId="0" borderId="10" xfId="40" applyBorder="1" applyAlignment="1">
      <alignment wrapText="1"/>
    </xf>
    <xf numFmtId="2" fontId="69" fillId="41" borderId="10" xfId="0" applyNumberFormat="1" applyFont="1" applyFill="1" applyBorder="1" applyAlignment="1">
      <alignment horizontal="center" vertical="center" wrapText="1"/>
    </xf>
    <xf numFmtId="0" fontId="23" fillId="24" borderId="10" xfId="0" applyFont="1" applyFill="1" applyBorder="1" applyAlignment="1">
      <alignment horizontal="center" vertical="center" wrapText="1"/>
    </xf>
    <xf numFmtId="0" fontId="23" fillId="0" borderId="10" xfId="0" applyFont="1" applyBorder="1" applyAlignment="1">
      <alignment horizontal="center" vertical="center" wrapText="1"/>
    </xf>
    <xf numFmtId="0" fontId="6" fillId="25" borderId="13" xfId="0" applyFont="1" applyFill="1" applyBorder="1" applyAlignment="1">
      <alignment horizontal="center" vertical="center" wrapText="1"/>
    </xf>
    <xf numFmtId="0" fontId="6" fillId="25" borderId="13" xfId="0" applyFont="1" applyFill="1" applyBorder="1" applyAlignment="1">
      <alignment horizontal="center" vertical="top" wrapText="1"/>
    </xf>
    <xf numFmtId="0" fontId="23" fillId="24" borderId="0" xfId="0" applyFont="1" applyFill="1" applyAlignment="1">
      <alignment vertical="center" wrapText="1"/>
    </xf>
    <xf numFmtId="0" fontId="23" fillId="27" borderId="10" xfId="0" applyFont="1" applyFill="1" applyBorder="1" applyAlignment="1">
      <alignment horizontal="center" vertical="center" wrapText="1"/>
    </xf>
    <xf numFmtId="0" fontId="23" fillId="27" borderId="0" xfId="0" applyFont="1" applyFill="1" applyAlignment="1">
      <alignment horizontal="center" vertical="center" wrapText="1"/>
    </xf>
    <xf numFmtId="0" fontId="33" fillId="24" borderId="0" xfId="0" applyFont="1" applyFill="1" applyAlignment="1">
      <alignment vertical="center" wrapText="1"/>
    </xf>
    <xf numFmtId="0" fontId="23" fillId="0" borderId="0" xfId="0" applyFont="1" applyAlignment="1">
      <alignment vertical="center" wrapText="1"/>
    </xf>
    <xf numFmtId="0" fontId="23" fillId="27" borderId="28" xfId="0" applyFont="1" applyFill="1" applyBorder="1" applyAlignment="1">
      <alignment horizontal="center" vertical="center" wrapText="1"/>
    </xf>
    <xf numFmtId="0" fontId="1" fillId="0" borderId="0" xfId="0" applyFo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32" fillId="26" borderId="10" xfId="174" applyFont="1" applyFill="1" applyBorder="1" applyAlignment="1">
      <alignment horizontal="center" vertical="center" wrapText="1" readingOrder="1"/>
    </xf>
    <xf numFmtId="0" fontId="31" fillId="0" borderId="12" xfId="0" applyFont="1" applyBorder="1" applyAlignment="1">
      <alignment horizontal="center" vertical="center"/>
    </xf>
    <xf numFmtId="0" fontId="30" fillId="0" borderId="0" xfId="138" applyFont="1" applyAlignment="1">
      <alignment horizontal="right" vertical="center"/>
    </xf>
    <xf numFmtId="0" fontId="30" fillId="0" borderId="12" xfId="138" applyFont="1" applyBorder="1" applyAlignment="1">
      <alignment horizontal="right" vertical="center"/>
    </xf>
    <xf numFmtId="0" fontId="19" fillId="0" borderId="11" xfId="138" applyFont="1" applyBorder="1" applyAlignment="1">
      <alignment vertical="center"/>
    </xf>
    <xf numFmtId="0" fontId="19" fillId="0" borderId="0" xfId="138" applyFont="1" applyAlignment="1">
      <alignment horizontal="left" vertical="center"/>
    </xf>
    <xf numFmtId="0" fontId="19" fillId="0" borderId="0" xfId="138" applyFont="1" applyAlignment="1">
      <alignment horizontal="right" vertical="center"/>
    </xf>
    <xf numFmtId="0" fontId="19" fillId="0" borderId="12" xfId="138" applyFont="1" applyBorder="1" applyAlignment="1">
      <alignment horizontal="right" vertical="center"/>
    </xf>
    <xf numFmtId="0" fontId="19" fillId="0" borderId="10" xfId="0" applyFont="1" applyBorder="1" applyAlignment="1">
      <alignment horizontal="center"/>
    </xf>
    <xf numFmtId="0" fontId="68" fillId="24" borderId="10" xfId="0" applyFont="1" applyFill="1" applyBorder="1" applyAlignment="1">
      <alignment vertical="center" wrapText="1"/>
    </xf>
    <xf numFmtId="0" fontId="81" fillId="41" borderId="10" xfId="0" applyFont="1" applyFill="1" applyBorder="1" applyAlignment="1">
      <alignment vertical="center"/>
    </xf>
    <xf numFmtId="0" fontId="0" fillId="0" borderId="0" xfId="0" applyAlignment="1">
      <alignment vertical="center"/>
    </xf>
    <xf numFmtId="0" fontId="0" fillId="0" borderId="10" xfId="0" applyBorder="1" applyAlignment="1">
      <alignment vertical="center"/>
    </xf>
    <xf numFmtId="0" fontId="0" fillId="0" borderId="10" xfId="0" applyBorder="1" applyAlignment="1">
      <alignment vertical="center" wrapText="1"/>
    </xf>
    <xf numFmtId="0" fontId="55" fillId="0" borderId="10" xfId="40" applyBorder="1" applyAlignment="1">
      <alignment vertical="center"/>
    </xf>
    <xf numFmtId="0" fontId="23" fillId="24" borderId="28" xfId="0" applyFont="1" applyFill="1" applyBorder="1" applyAlignment="1">
      <alignment horizontal="center" vertical="center" wrapText="1"/>
    </xf>
    <xf numFmtId="0" fontId="23" fillId="24" borderId="0" xfId="0" applyFont="1" applyFill="1" applyAlignment="1">
      <alignment horizontal="center" vertical="center" wrapText="1"/>
    </xf>
    <xf numFmtId="0" fontId="19" fillId="32" borderId="10" xfId="0" applyFont="1" applyFill="1" applyBorder="1" applyAlignment="1">
      <alignment horizontal="center" vertical="center" wrapText="1"/>
    </xf>
    <xf numFmtId="0" fontId="59" fillId="0" borderId="24" xfId="0" applyFont="1" applyBorder="1" applyAlignment="1">
      <alignment horizontal="center"/>
    </xf>
    <xf numFmtId="0" fontId="59" fillId="37" borderId="28" xfId="0" applyFont="1" applyFill="1" applyBorder="1" applyAlignment="1">
      <alignment horizontal="left"/>
    </xf>
    <xf numFmtId="0" fontId="59" fillId="37" borderId="0" xfId="0" applyFont="1" applyFill="1" applyAlignment="1">
      <alignment horizontal="left"/>
    </xf>
    <xf numFmtId="0" fontId="68" fillId="24" borderId="10" xfId="0" applyFont="1" applyFill="1" applyBorder="1" applyAlignment="1">
      <alignment horizontal="center" vertical="center" wrapText="1"/>
    </xf>
    <xf numFmtId="0" fontId="77" fillId="0" borderId="40" xfId="0" applyFont="1" applyBorder="1" applyAlignment="1">
      <alignment horizontal="center" vertical="center" wrapText="1"/>
    </xf>
    <xf numFmtId="0" fontId="77" fillId="0" borderId="34" xfId="0" applyFont="1" applyBorder="1" applyAlignment="1">
      <alignment horizontal="center" vertical="center" wrapText="1"/>
    </xf>
    <xf numFmtId="0" fontId="77" fillId="0" borderId="13" xfId="0" applyFont="1" applyBorder="1" applyAlignment="1">
      <alignment horizontal="center" vertical="center" wrapText="1"/>
    </xf>
    <xf numFmtId="0" fontId="32" fillId="30" borderId="51" xfId="165" applyFont="1" applyFill="1" applyBorder="1" applyAlignment="1">
      <alignment horizontal="center" vertical="center"/>
    </xf>
    <xf numFmtId="0" fontId="27" fillId="31" borderId="11" xfId="138" applyFont="1" applyFill="1" applyBorder="1" applyAlignment="1">
      <alignment horizontal="center" vertical="center"/>
    </xf>
    <xf numFmtId="0" fontId="27" fillId="31" borderId="0" xfId="138" applyFont="1" applyFill="1" applyAlignment="1">
      <alignment horizontal="center" vertical="center"/>
    </xf>
    <xf numFmtId="0" fontId="37" fillId="0" borderId="23" xfId="0" applyFont="1" applyBorder="1" applyAlignment="1">
      <alignment horizontal="center" vertical="center"/>
    </xf>
    <xf numFmtId="0" fontId="37" fillId="0" borderId="24" xfId="0" applyFont="1" applyBorder="1" applyAlignment="1">
      <alignment horizontal="center" vertical="center"/>
    </xf>
    <xf numFmtId="0" fontId="38" fillId="28" borderId="41" xfId="67" applyFont="1" applyFill="1" applyBorder="1" applyAlignment="1">
      <alignment horizontal="center" vertical="center" wrapText="1"/>
    </xf>
    <xf numFmtId="0" fontId="38" fillId="28" borderId="42" xfId="67" applyFont="1" applyFill="1" applyBorder="1" applyAlignment="1">
      <alignment horizontal="center" vertical="center" wrapText="1"/>
    </xf>
    <xf numFmtId="0" fontId="39" fillId="28" borderId="43" xfId="67" applyFont="1" applyFill="1" applyBorder="1" applyAlignment="1">
      <alignment horizontal="center" vertical="center" wrapText="1"/>
    </xf>
    <xf numFmtId="0" fontId="39" fillId="28" borderId="44" xfId="67" applyFont="1" applyFill="1" applyBorder="1" applyAlignment="1">
      <alignment horizontal="center" vertical="center" wrapText="1"/>
    </xf>
    <xf numFmtId="0" fontId="27" fillId="31" borderId="26" xfId="138" applyFont="1" applyFill="1" applyBorder="1" applyAlignment="1">
      <alignment horizontal="center" vertical="center"/>
    </xf>
    <xf numFmtId="0" fontId="27" fillId="31" borderId="27" xfId="138" applyFont="1" applyFill="1" applyBorder="1" applyAlignment="1">
      <alignment horizontal="center" vertical="center"/>
    </xf>
    <xf numFmtId="0" fontId="37" fillId="0" borderId="23" xfId="51" applyFont="1" applyBorder="1" applyAlignment="1">
      <alignment horizontal="center" vertical="center"/>
    </xf>
    <xf numFmtId="0" fontId="37" fillId="0" borderId="24" xfId="51" applyFont="1" applyBorder="1" applyAlignment="1">
      <alignment horizontal="center" vertical="center"/>
    </xf>
    <xf numFmtId="0" fontId="38" fillId="28" borderId="41" xfId="51" applyFont="1" applyFill="1" applyBorder="1" applyAlignment="1">
      <alignment horizontal="center" vertical="center" wrapText="1"/>
    </xf>
    <xf numFmtId="0" fontId="38" fillId="28" borderId="42" xfId="51" applyFont="1" applyFill="1" applyBorder="1" applyAlignment="1">
      <alignment horizontal="center" vertical="center" wrapText="1"/>
    </xf>
    <xf numFmtId="0" fontId="39" fillId="28" borderId="43" xfId="51" applyFont="1" applyFill="1" applyBorder="1" applyAlignment="1">
      <alignment horizontal="center" vertical="center" wrapText="1"/>
    </xf>
    <xf numFmtId="0" fontId="39" fillId="28" borderId="44" xfId="51" applyFont="1" applyFill="1" applyBorder="1" applyAlignment="1">
      <alignment horizontal="center" vertical="center" wrapText="1"/>
    </xf>
    <xf numFmtId="0" fontId="32" fillId="30" borderId="52" xfId="165" applyFont="1" applyFill="1" applyBorder="1" applyAlignment="1">
      <alignment horizontal="center" vertical="center"/>
    </xf>
    <xf numFmtId="0" fontId="32" fillId="30" borderId="53" xfId="165" applyFont="1" applyFill="1" applyBorder="1" applyAlignment="1">
      <alignment horizontal="center" vertical="center"/>
    </xf>
    <xf numFmtId="0" fontId="48" fillId="33" borderId="0" xfId="0" applyFont="1" applyFill="1" applyAlignment="1">
      <alignment horizontal="center"/>
    </xf>
    <xf numFmtId="0" fontId="72" fillId="28" borderId="10" xfId="165" applyFont="1" applyFill="1" applyBorder="1" applyAlignment="1">
      <alignment horizontal="center" vertical="center"/>
    </xf>
    <xf numFmtId="0" fontId="76" fillId="43" borderId="40" xfId="0" applyFont="1" applyFill="1" applyBorder="1" applyAlignment="1">
      <alignment vertical="top" wrapText="1"/>
    </xf>
    <xf numFmtId="0" fontId="76" fillId="43" borderId="34" xfId="0" applyFont="1" applyFill="1" applyBorder="1" applyAlignment="1">
      <alignment vertical="top" wrapText="1"/>
    </xf>
    <xf numFmtId="0" fontId="76" fillId="43" borderId="13" xfId="0" applyFont="1" applyFill="1" applyBorder="1" applyAlignment="1">
      <alignment vertical="top" wrapText="1"/>
    </xf>
    <xf numFmtId="0" fontId="76" fillId="0" borderId="28" xfId="0" applyFont="1" applyBorder="1" applyAlignment="1">
      <alignment vertical="top"/>
    </xf>
    <xf numFmtId="0" fontId="78" fillId="44" borderId="45" xfId="0" applyFont="1" applyFill="1" applyBorder="1" applyAlignment="1">
      <alignment vertical="top" wrapText="1"/>
    </xf>
    <xf numFmtId="0" fontId="78" fillId="44" borderId="24" xfId="0" applyFont="1" applyFill="1" applyBorder="1" applyAlignment="1">
      <alignment vertical="top" wrapText="1"/>
    </xf>
    <xf numFmtId="0" fontId="78" fillId="44" borderId="46" xfId="0" applyFont="1" applyFill="1" applyBorder="1" applyAlignment="1">
      <alignment vertical="top" wrapText="1"/>
    </xf>
    <xf numFmtId="0" fontId="78" fillId="44" borderId="47" xfId="0" applyFont="1" applyFill="1" applyBorder="1" applyAlignment="1">
      <alignment vertical="top" wrapText="1"/>
    </xf>
    <xf numFmtId="0" fontId="76" fillId="0" borderId="40" xfId="0" applyFont="1" applyBorder="1" applyAlignment="1">
      <alignment vertical="top"/>
    </xf>
    <xf numFmtId="0" fontId="76" fillId="0" borderId="34" xfId="0" applyFont="1" applyBorder="1" applyAlignment="1">
      <alignment vertical="top"/>
    </xf>
    <xf numFmtId="0" fontId="76" fillId="0" borderId="13" xfId="0" applyFont="1" applyBorder="1" applyAlignment="1">
      <alignment vertical="top"/>
    </xf>
    <xf numFmtId="0" fontId="0" fillId="0" borderId="10" xfId="0" applyBorder="1" applyAlignment="1">
      <alignment horizontal="center"/>
    </xf>
    <xf numFmtId="0" fontId="0" fillId="36" borderId="33" xfId="0" applyFill="1" applyBorder="1" applyAlignment="1">
      <alignment horizontal="center" wrapText="1"/>
    </xf>
    <xf numFmtId="0" fontId="0" fillId="36" borderId="48" xfId="0" applyFill="1" applyBorder="1" applyAlignment="1">
      <alignment horizontal="center" wrapText="1"/>
    </xf>
    <xf numFmtId="0" fontId="79" fillId="45" borderId="33" xfId="0" applyFont="1" applyFill="1" applyBorder="1" applyAlignment="1">
      <alignment horizontal="center" wrapText="1"/>
    </xf>
    <xf numFmtId="0" fontId="79" fillId="45" borderId="48" xfId="0" applyFont="1" applyFill="1" applyBorder="1" applyAlignment="1">
      <alignment horizontal="center" wrapText="1"/>
    </xf>
    <xf numFmtId="0" fontId="79" fillId="45" borderId="35" xfId="0" applyFont="1" applyFill="1" applyBorder="1" applyAlignment="1">
      <alignment horizontal="center" wrapText="1"/>
    </xf>
    <xf numFmtId="0" fontId="55" fillId="0" borderId="10" xfId="40" applyBorder="1" applyAlignment="1">
      <alignment horizontal="left" wrapText="1"/>
    </xf>
    <xf numFmtId="0" fontId="55" fillId="0" borderId="10" xfId="40" applyBorder="1" applyAlignment="1">
      <alignment horizontal="left"/>
    </xf>
    <xf numFmtId="0" fontId="27" fillId="27" borderId="26" xfId="138" applyFont="1" applyFill="1" applyBorder="1" applyAlignment="1">
      <alignment horizontal="center" vertical="center"/>
    </xf>
    <xf numFmtId="0" fontId="27" fillId="27" borderId="27" xfId="138" applyFont="1" applyFill="1" applyBorder="1" applyAlignment="1">
      <alignment horizontal="center" vertical="center"/>
    </xf>
    <xf numFmtId="0" fontId="27" fillId="27" borderId="49" xfId="138" applyFont="1" applyFill="1" applyBorder="1" applyAlignment="1">
      <alignment horizontal="center" vertical="center"/>
    </xf>
    <xf numFmtId="0" fontId="45" fillId="33" borderId="10" xfId="0" applyFont="1" applyFill="1" applyBorder="1" applyAlignment="1">
      <alignment horizontal="center" vertical="center" wrapText="1"/>
    </xf>
    <xf numFmtId="0" fontId="80" fillId="37" borderId="10" xfId="0" applyFont="1" applyFill="1" applyBorder="1" applyAlignment="1">
      <alignment horizontal="center" vertical="center"/>
    </xf>
    <xf numFmtId="0" fontId="64" fillId="37" borderId="10" xfId="0" applyFont="1" applyFill="1" applyBorder="1" applyAlignment="1">
      <alignment horizontal="left" vertical="center" wrapText="1"/>
    </xf>
    <xf numFmtId="0" fontId="64" fillId="37" borderId="10" xfId="0" applyFont="1" applyFill="1" applyBorder="1" applyAlignment="1">
      <alignment horizontal="left" vertical="center"/>
    </xf>
    <xf numFmtId="0" fontId="80" fillId="37" borderId="10" xfId="0" applyFont="1" applyFill="1" applyBorder="1" applyAlignment="1">
      <alignment horizontal="center" vertical="center" wrapText="1"/>
    </xf>
  </cellXfs>
  <cellStyles count="186">
    <cellStyle name="20% - Accent1 2" xfId="1" xr:uid="{998260F6-5D8F-4C27-AB42-D11730CE6BE5}"/>
    <cellStyle name="20% - Accent2 2" xfId="2" xr:uid="{8F2ED33F-A8B4-4B6F-B5AE-E980472F21C8}"/>
    <cellStyle name="20% - Accent3 2" xfId="3" xr:uid="{F0404C71-8386-47D6-8178-9647E888374F}"/>
    <cellStyle name="20% - Accent4 2" xfId="4" xr:uid="{F35EF11C-6F10-4AF9-804D-6506E974A5F3}"/>
    <cellStyle name="20% - Accent5 2" xfId="5" xr:uid="{CB9CC7DB-67AB-40BB-86A4-C5E59AA2EC10}"/>
    <cellStyle name="20% - Accent6 2" xfId="6" xr:uid="{AEE5F5B1-6C55-45AE-97F9-B114D53CD32C}"/>
    <cellStyle name="40% - Accent1 2" xfId="7" xr:uid="{5C9E679F-E3F3-4030-9625-5C2C11F5DEF6}"/>
    <cellStyle name="40% - Accent2 2" xfId="8" xr:uid="{9A71C5AE-23D5-42CB-82E1-E75A816A44EE}"/>
    <cellStyle name="40% - Accent3 2" xfId="9" xr:uid="{C887065C-0B0F-43E8-B61D-758FA95DA1E1}"/>
    <cellStyle name="40% - Accent4 2" xfId="10" xr:uid="{180B1D7A-F101-40D1-BFDC-CD1EC2D5FEF6}"/>
    <cellStyle name="40% - Accent5 2" xfId="11" xr:uid="{829D0311-A792-4567-AE44-4455DB42DA30}"/>
    <cellStyle name="40% - Accent6 2" xfId="12" xr:uid="{FC52CE1B-AE75-481F-B0CB-170EF633E04E}"/>
    <cellStyle name="60% - Accent1 2" xfId="13" xr:uid="{7AF77491-29DC-4369-A3C5-3558D289544B}"/>
    <cellStyle name="60% - Accent2 2" xfId="14" xr:uid="{A34CDCC9-5965-489F-8E9E-FA1003D0AC02}"/>
    <cellStyle name="60% - Accent3 2" xfId="15" xr:uid="{EAB7E844-E18E-4DAB-9770-FDD03E50FB61}"/>
    <cellStyle name="60% - Accent4 2" xfId="16" xr:uid="{D365A70D-CA21-49E4-BE93-149AD847AEE8}"/>
    <cellStyle name="60% - Accent5 2" xfId="17" xr:uid="{73D9455E-03AC-4C55-8B07-3F27875203F0}"/>
    <cellStyle name="60% - Accent6 2" xfId="18" xr:uid="{14851779-3C83-4344-BCE9-F192DF6B28A6}"/>
    <cellStyle name="Accent1 2" xfId="19" xr:uid="{FFBBEEE5-E34E-44BE-AC0B-AA78AF3CF6AA}"/>
    <cellStyle name="Accent2 2" xfId="20" xr:uid="{D2AA652C-75AC-44E4-9C84-87E9142055FA}"/>
    <cellStyle name="Accent3 2" xfId="21" xr:uid="{EE752AD7-9390-489A-B679-54C52CB2D449}"/>
    <cellStyle name="Accent4 2" xfId="22" xr:uid="{E7114F82-D92F-44BB-8BA9-D14576BACF86}"/>
    <cellStyle name="Accent5 2" xfId="23" xr:uid="{3E37119D-CA9C-4D7A-88E4-90003C51A9DD}"/>
    <cellStyle name="Accent6 2" xfId="24" xr:uid="{20EA4426-F405-40E7-8650-615EA5C19E82}"/>
    <cellStyle name="Bad 2" xfId="25" xr:uid="{B26681DA-1A99-4390-B4D3-5BED3FF11C5A}"/>
    <cellStyle name="Calculation 2" xfId="26" xr:uid="{2DD69B68-9D96-43EF-946A-AC983DEC933F}"/>
    <cellStyle name="Calculation 2 2" xfId="27" xr:uid="{0CD71C11-5BA4-466B-B13C-F960A7685857}"/>
    <cellStyle name="Check Cell 2" xfId="28" xr:uid="{A2051F4B-297C-4491-831E-A1E1A08B136E}"/>
    <cellStyle name="Comma 2" xfId="29" xr:uid="{98E9E40D-4AAD-4F97-9840-5C305FA71BAC}"/>
    <cellStyle name="Comma 2 2" xfId="30" xr:uid="{F5DE8873-6B84-4115-A415-C2FBD4DC9730}"/>
    <cellStyle name="Excel Built-in Normal" xfId="31" xr:uid="{EF8E497B-7BBD-434A-9660-3A319C4B8137}"/>
    <cellStyle name="Explanatory Text 2" xfId="32" xr:uid="{7AC15843-3CDA-43D0-9085-AC6F78724DEB}"/>
    <cellStyle name="Good 2" xfId="33" xr:uid="{12ACFF93-514C-4943-895C-2F81231B3AD2}"/>
    <cellStyle name="Good 2 2" xfId="34" xr:uid="{8A25C2BF-1A8A-4DF8-A53F-E7A2541B9DD4}"/>
    <cellStyle name="Good 2 3" xfId="35" xr:uid="{DE26CE47-917E-4EA4-9B91-EA0300476AF6}"/>
    <cellStyle name="Heading 1 2" xfId="36" xr:uid="{1BA79150-C7A0-45CF-908A-3D10B9537C21}"/>
    <cellStyle name="Heading 2 2" xfId="37" xr:uid="{C7B05001-CE9D-4018-8F85-D854E3ED1E0D}"/>
    <cellStyle name="Heading 3 2" xfId="38" xr:uid="{D0C825C3-2FC2-45A6-A847-26F8556223DE}"/>
    <cellStyle name="Heading 4 2" xfId="39" xr:uid="{80817ED7-BB28-41D1-8915-EF5D7576F280}"/>
    <cellStyle name="Hyperlink" xfId="40" builtinId="8"/>
    <cellStyle name="Hyperlink 2" xfId="41" xr:uid="{101D5239-5651-4D91-8194-F0618FD3A587}"/>
    <cellStyle name="Hyperlink 2 2" xfId="42" xr:uid="{B341B489-BAF5-4426-8288-CB4473D1DF5D}"/>
    <cellStyle name="Hyperlink 2 3" xfId="43" xr:uid="{9B397DCF-B442-4AF6-A07E-B5C024AF6E78}"/>
    <cellStyle name="Hyperlink 2 4" xfId="44" xr:uid="{0C7B62C2-E9ED-46AA-8D49-40889FC5EFA8}"/>
    <cellStyle name="Hyperlink 3" xfId="45" xr:uid="{5AECBA30-4154-49C5-940E-B3D5B9FB97F8}"/>
    <cellStyle name="Hyperlink 4" xfId="46" xr:uid="{F2AC0708-BD95-4FBA-B494-5335C112E775}"/>
    <cellStyle name="Input 2" xfId="47" xr:uid="{BCE39E05-8DBE-49DD-A897-A9D3B043245B}"/>
    <cellStyle name="Input 2 2" xfId="48" xr:uid="{B2707603-64AE-4280-8801-F0B26980621D}"/>
    <cellStyle name="Linked Cell 2" xfId="49" xr:uid="{1473E1E6-09B3-4D15-A740-FE8B576F0D75}"/>
    <cellStyle name="Neutral 2" xfId="50" xr:uid="{CAFB95FE-43F4-44B3-A276-C1CDFFB63624}"/>
    <cellStyle name="Normal" xfId="0" builtinId="0"/>
    <cellStyle name="Normal 10" xfId="51" xr:uid="{A31F7C19-506D-4514-8016-A60C56C87511}"/>
    <cellStyle name="Normal 10 2" xfId="52" xr:uid="{0F20B6F1-E74F-4930-B75D-64E80606DD71}"/>
    <cellStyle name="Normal 10 2 2" xfId="53" xr:uid="{CC7D99CB-D2D1-4B5D-80A0-801E670D1702}"/>
    <cellStyle name="Normal 11" xfId="54" xr:uid="{DD2D0811-8487-4316-A021-614149EB0D08}"/>
    <cellStyle name="Normal 11 2" xfId="55" xr:uid="{650927A7-81DC-401D-B8DE-37AE82838F5A}"/>
    <cellStyle name="Normal 12" xfId="56" xr:uid="{A8AD65A3-4EA9-4E79-9C71-4093D3BE6A72}"/>
    <cellStyle name="Normal 13" xfId="57" xr:uid="{927F8054-483B-44F5-82B4-2E35E202D094}"/>
    <cellStyle name="Normal 14" xfId="58" xr:uid="{EDE0CCB2-DD99-451E-A9DF-6F2FE21CDACF}"/>
    <cellStyle name="Normal 15" xfId="59" xr:uid="{04F9B735-9FF9-4BDD-BC6F-D2C01E1F6231}"/>
    <cellStyle name="Normal 16" xfId="60" xr:uid="{16D83C6A-3810-4864-A12E-A2FD21BACD15}"/>
    <cellStyle name="Normal 16 2" xfId="61" xr:uid="{129AC7D6-38DD-4374-AC6B-02D5FCBEF466}"/>
    <cellStyle name="Normal 17" xfId="62" xr:uid="{5969CDA7-DC25-444C-A931-C2F6EC2FAE45}"/>
    <cellStyle name="Normal 17 2" xfId="63" xr:uid="{67149D07-EC34-453F-8817-E03ED3EB7CED}"/>
    <cellStyle name="Normal 18" xfId="64" xr:uid="{0197263A-193C-496F-91CD-C1C739E2F251}"/>
    <cellStyle name="Normal 18 2" xfId="65" xr:uid="{DABBD830-0BF8-4605-84E1-14C0EA3DD714}"/>
    <cellStyle name="Normal 19" xfId="66" xr:uid="{2D8A50ED-20E9-47D0-909B-96F8657BF40C}"/>
    <cellStyle name="Normal 2" xfId="67" xr:uid="{399D0ABA-3B90-4CAD-9FEE-98D53AD4F773}"/>
    <cellStyle name="Normal 2 10" xfId="68" xr:uid="{D8013DFA-D652-4306-BCA2-BD2EB3B4F916}"/>
    <cellStyle name="Normal 2 11" xfId="69" xr:uid="{D51CA005-D2C6-48D3-8E2A-F1A06B47C549}"/>
    <cellStyle name="Normal 2 12" xfId="70" xr:uid="{B78A35AB-4580-4D26-A310-F0715202809C}"/>
    <cellStyle name="Normal 2 13" xfId="71" xr:uid="{86311F02-2529-42A3-91D3-C3C504427754}"/>
    <cellStyle name="Normal 2 14" xfId="72" xr:uid="{03958E9E-6CE1-4D17-B024-24E349EE8F4E}"/>
    <cellStyle name="Normal 2 15" xfId="73" xr:uid="{C28726B2-FD0D-4C78-A8CA-5F29A8487761}"/>
    <cellStyle name="Normal 2 16" xfId="74" xr:uid="{75888209-5C2A-42F0-A286-8D85CCF2BD83}"/>
    <cellStyle name="Normal 2 17" xfId="75" xr:uid="{96237C00-5032-48F0-B302-61CA4D36CADC}"/>
    <cellStyle name="Normal 2 18" xfId="76" xr:uid="{29CAE469-7F62-4CD6-9480-C9C1356D0F6E}"/>
    <cellStyle name="Normal 2 19" xfId="77" xr:uid="{A36A0C16-97B9-490D-87A0-B9D9EC9BDC1F}"/>
    <cellStyle name="Normal 2 2" xfId="78" xr:uid="{3F973472-D582-49FB-833B-ACD1316BBD66}"/>
    <cellStyle name="Normal 2 2 10" xfId="79" xr:uid="{78CAD917-F396-476C-A7FD-A4756A4CD943}"/>
    <cellStyle name="Normal 2 2 11" xfId="80" xr:uid="{D871C610-33FA-44F1-98F9-79E34EEC3F82}"/>
    <cellStyle name="Normal 2 2 12" xfId="81" xr:uid="{C43F626C-E919-401F-8BE1-77E38A6978A4}"/>
    <cellStyle name="Normal 2 2 13" xfId="82" xr:uid="{D49DCB7B-753E-4FD4-B163-2DB20FA58FED}"/>
    <cellStyle name="Normal 2 2 14" xfId="83" xr:uid="{29BD51FE-5971-4D8A-8D3B-52F5C4FE340C}"/>
    <cellStyle name="Normal 2 2 15" xfId="84" xr:uid="{4CD4873E-A63D-483D-A3DA-7BB098D580DB}"/>
    <cellStyle name="Normal 2 2 16" xfId="85" xr:uid="{A07C115E-FC93-46B9-922A-9DA319A8F099}"/>
    <cellStyle name="Normal 2 2 2" xfId="86" xr:uid="{B4AEF496-0834-4723-A2CA-43814D32A390}"/>
    <cellStyle name="Normal 2 2 2 10" xfId="87" xr:uid="{722243D1-38C4-4446-AA6B-1487B34E9056}"/>
    <cellStyle name="Normal 2 2 2 11" xfId="88" xr:uid="{D7172E38-610C-4BF9-B0AC-A083BD434351}"/>
    <cellStyle name="Normal 2 2 2 12" xfId="89" xr:uid="{1094B868-6AE1-437D-A991-D1CCF295A676}"/>
    <cellStyle name="Normal 2 2 2 13" xfId="90" xr:uid="{7B83AD8C-4899-4202-9AD4-6242DB8EBBD4}"/>
    <cellStyle name="Normal 2 2 2 14" xfId="91" xr:uid="{13F7902F-CB45-4381-8C8F-70DB834FABE5}"/>
    <cellStyle name="Normal 2 2 2 15" xfId="92" xr:uid="{B37FE715-0167-416B-87AC-3D44EF64E2F0}"/>
    <cellStyle name="Normal 2 2 2 16" xfId="93" xr:uid="{4AEFF8A3-AAFB-424B-99BD-CE587C4FEEC0}"/>
    <cellStyle name="Normal 2 2 2 2" xfId="94" xr:uid="{0C67D143-032E-4DA7-9B40-C56D40114C91}"/>
    <cellStyle name="Normal 2 2 2 3" xfId="95" xr:uid="{68FC84D2-B904-437F-9B20-43025A84E909}"/>
    <cellStyle name="Normal 2 2 2 4" xfId="96" xr:uid="{013741AD-A5DE-42AC-A10F-A8EB74CA3715}"/>
    <cellStyle name="Normal 2 2 2 5" xfId="97" xr:uid="{D88FAEEB-B893-450D-9952-1427D8F3287F}"/>
    <cellStyle name="Normal 2 2 2 6" xfId="98" xr:uid="{8E9C2EF5-DB06-4756-BD94-E625E4624399}"/>
    <cellStyle name="Normal 2 2 2 7" xfId="99" xr:uid="{794D9075-0161-4D3F-B149-25099FAAA450}"/>
    <cellStyle name="Normal 2 2 2 8" xfId="100" xr:uid="{D340B72D-A637-4A93-86F4-81EB295D6420}"/>
    <cellStyle name="Normal 2 2 2 9" xfId="101" xr:uid="{34B9AC24-378C-4DFE-AA1C-B3EF4723CA7B}"/>
    <cellStyle name="Normal 2 2 3" xfId="102" xr:uid="{CACE8F11-791D-4E0E-9150-7CB728FB7E28}"/>
    <cellStyle name="Normal 2 2 4" xfId="103" xr:uid="{FFA8755A-6230-4B2C-AE66-F609FEE81EE7}"/>
    <cellStyle name="Normal 2 2 5" xfId="104" xr:uid="{2528EFAF-5D89-4663-BB22-71ED59936B0C}"/>
    <cellStyle name="Normal 2 2 6" xfId="105" xr:uid="{6795B557-3C04-4CC4-B0CE-247C15641441}"/>
    <cellStyle name="Normal 2 2 7" xfId="106" xr:uid="{04EB9275-CBF2-4935-97A3-09268CA646AE}"/>
    <cellStyle name="Normal 2 2 8" xfId="107" xr:uid="{A7215BEA-0027-41C8-AF0E-829812C34FB0}"/>
    <cellStyle name="Normal 2 2 9" xfId="108" xr:uid="{CD8143CC-C4BA-4F26-A1DA-A6F09B261E11}"/>
    <cellStyle name="Normal 2 20" xfId="109" xr:uid="{91DFB374-C1E8-4063-9CF4-74208EABEAE3}"/>
    <cellStyle name="Normal 2 21" xfId="110" xr:uid="{29D03F34-1B55-4C28-A29E-8159B779E3C8}"/>
    <cellStyle name="Normal 2 22" xfId="111" xr:uid="{6000D8CB-6C11-4E25-AE0E-2EA7A15431D0}"/>
    <cellStyle name="Normal 2 23" xfId="112" xr:uid="{F06B5145-49AD-40A0-8F0B-6567D7088813}"/>
    <cellStyle name="Normal 2 24" xfId="113" xr:uid="{725834A5-CC60-4785-BC78-8345A1DCAD56}"/>
    <cellStyle name="Normal 2 25" xfId="114" xr:uid="{5D990741-7CFF-47A8-BDBF-AEE677635BAE}"/>
    <cellStyle name="Normal 2 26" xfId="115" xr:uid="{78140EBD-B8AA-48D7-BCCA-9F5F215F4B74}"/>
    <cellStyle name="Normal 2 27" xfId="116" xr:uid="{B72D0C90-052B-4865-BDD5-3A8AD6D8FCD9}"/>
    <cellStyle name="Normal 2 28" xfId="117" xr:uid="{A9745D4C-D399-44EB-BC1D-A0B5F0C0EE8F}"/>
    <cellStyle name="Normal 2 3" xfId="118" xr:uid="{A4D41B3B-5F7A-482B-9B7B-13BEA40FA5D7}"/>
    <cellStyle name="Normal 2 4" xfId="119" xr:uid="{5B471BD7-3C32-4807-A40B-D0B9AEFD8030}"/>
    <cellStyle name="Normal 2 4 2" xfId="120" xr:uid="{E20D814C-90C8-4D2D-AE4A-7D65BBF9C0CC}"/>
    <cellStyle name="Normal 2 5" xfId="121" xr:uid="{300D4BDC-CD3C-4315-AD3A-CCBE53ED6264}"/>
    <cellStyle name="Normal 2 5 2" xfId="122" xr:uid="{CE948A7F-2F38-4ED5-B003-3EA0D0E3D0C0}"/>
    <cellStyle name="Normal 2 6" xfId="123" xr:uid="{32017519-43AE-4C13-9BD8-23C06199021B}"/>
    <cellStyle name="Normal 2 6 2" xfId="124" xr:uid="{EB58A22D-24A4-4804-9BB0-077CF2184FA5}"/>
    <cellStyle name="Normal 2 7" xfId="125" xr:uid="{097D7691-BF46-47BC-B41D-151C8A688849}"/>
    <cellStyle name="Normal 2 7 2" xfId="126" xr:uid="{4FE78860-F2F0-4EF8-B37D-ABF4DFBD5FC6}"/>
    <cellStyle name="Normal 2 8" xfId="127" xr:uid="{2F4CE160-4169-4291-BB8F-CBAB121E8CC5}"/>
    <cellStyle name="Normal 2 8 2" xfId="128" xr:uid="{FC3DE6B7-3C65-4797-A3FF-3DBAD5FCEA0F}"/>
    <cellStyle name="Normal 2 9" xfId="129" xr:uid="{606507D5-78B7-40AB-9C3C-64313199C155}"/>
    <cellStyle name="Normal 2 9 2" xfId="130" xr:uid="{E7D81C23-24F7-4E8B-8837-3FCCF0C952FC}"/>
    <cellStyle name="Normal 2_Book1" xfId="131" xr:uid="{A1956745-BD90-478E-AC72-9B2D146BADAC}"/>
    <cellStyle name="Normal 21" xfId="132" xr:uid="{80FD74B6-3CDA-47E6-929D-D2C6E3204710}"/>
    <cellStyle name="Normal 21 2" xfId="133" xr:uid="{14255CAD-B110-4D7B-AB46-51C4A4C2D5C7}"/>
    <cellStyle name="Normal 3" xfId="134" xr:uid="{EE36971A-8731-4A7A-9DCE-F686B38D944C}"/>
    <cellStyle name="Normal 3 2" xfId="135" xr:uid="{C13F452A-3D92-4643-9274-EBB0F0C37988}"/>
    <cellStyle name="Normal 3 2 2" xfId="136" xr:uid="{202555CF-9FE4-4C6B-B739-891EE086A561}"/>
    <cellStyle name="Normal 3 2 3" xfId="137" xr:uid="{9A5D87A6-3B49-4E1F-B729-BC261A328E18}"/>
    <cellStyle name="Normal 3 3" xfId="138" xr:uid="{6BF3A61C-2D36-4ACA-A608-98072DEF04CA}"/>
    <cellStyle name="Normal 3 3 2" xfId="139" xr:uid="{60D3CCCD-E83B-43E7-AB88-EFEC2408D23A}"/>
    <cellStyle name="Normal 3 3 2 2" xfId="140" xr:uid="{0395C61A-A642-408D-9717-D2EAB462556E}"/>
    <cellStyle name="Normal 3 4" xfId="141" xr:uid="{D2860583-6274-4582-B4E7-0EDDBC302FF5}"/>
    <cellStyle name="Normal 3 5" xfId="142" xr:uid="{63E89D1B-2DB6-47FA-BB92-5BF789B4681C}"/>
    <cellStyle name="Normal 3 6" xfId="143" xr:uid="{57F0D437-1D10-4F12-8323-02EAABFDC028}"/>
    <cellStyle name="Normal 3 7" xfId="144" xr:uid="{00B9D88A-E673-4C83-A45D-3E4475154212}"/>
    <cellStyle name="Normal 3 8" xfId="145" xr:uid="{FBE9624C-BE51-4364-ACF7-FDDE6AF521D2}"/>
    <cellStyle name="Normal 3 9" xfId="146" xr:uid="{6C397E81-5D9D-469F-B8D1-27B06CF3475F}"/>
    <cellStyle name="Normal 3_Book1" xfId="147" xr:uid="{689DFBF1-B906-4BE4-B2C5-5EA1F418CD39}"/>
    <cellStyle name="Normal 4" xfId="148" xr:uid="{0E44077D-2E48-48DC-B941-5AD3AB0F7427}"/>
    <cellStyle name="Normal 4 2" xfId="149" xr:uid="{D7C4FC32-0746-4D4B-8F28-EFC64C3FC81A}"/>
    <cellStyle name="Normal 4 3" xfId="150" xr:uid="{E5C1F581-198B-4B8F-8C9D-A2BD423D5E64}"/>
    <cellStyle name="Normal 4 4" xfId="151" xr:uid="{FCD9A5E5-8607-4F21-978A-8F6B06443765}"/>
    <cellStyle name="Normal 4 5" xfId="152" xr:uid="{AF34053B-818C-4761-A170-2FD3E1310628}"/>
    <cellStyle name="Normal 4 6" xfId="153" xr:uid="{C0202C91-8660-45C2-8006-4C67E3B324F0}"/>
    <cellStyle name="Normal 4 7" xfId="154" xr:uid="{BA18BA01-AD8B-48BF-AC6F-3EDAACAEB706}"/>
    <cellStyle name="Normal 4_Dotnet" xfId="155" xr:uid="{3C6F3971-A18D-4F0C-8994-2198381A43BD}"/>
    <cellStyle name="Normal 5" xfId="156" xr:uid="{BA7F6224-0F44-4F33-AB07-6DA1FF8FC445}"/>
    <cellStyle name="Normal 5 2" xfId="157" xr:uid="{4A53B063-5997-491E-9822-88DD76B4FF2F}"/>
    <cellStyle name="Normal 5 2 2" xfId="158" xr:uid="{2C0A8F84-BB86-47EC-BDBF-CD1C51967A7A}"/>
    <cellStyle name="Normal 5 3" xfId="159" xr:uid="{80DCCE13-F529-4E57-9728-64B0F76B0FFF}"/>
    <cellStyle name="Normal 5 4" xfId="160" xr:uid="{93DAC5D0-0426-436C-A1BF-8269A450EA77}"/>
    <cellStyle name="Normal 5 5" xfId="161" xr:uid="{BD0F91D7-D654-4EE2-8EB9-2F34F6AA1E56}"/>
    <cellStyle name="Normal 5 6" xfId="162" xr:uid="{2C79D0F7-32AA-423C-9B70-2C908035F95B}"/>
    <cellStyle name="Normal 5 7" xfId="163" xr:uid="{AA4B3C18-3281-46C9-BE5A-D3437BF65169}"/>
    <cellStyle name="Normal 5 8" xfId="164" xr:uid="{4414D339-FEB7-41C0-BBBE-149058CB4548}"/>
    <cellStyle name="Normal 5 8 2" xfId="165" xr:uid="{BCDF7AFE-1C54-426D-8B6B-A1DC57053E88}"/>
    <cellStyle name="Normal 6" xfId="166" xr:uid="{7A5071B7-17E2-42EA-84FA-0A4D1E9BB3BD}"/>
    <cellStyle name="Normal 6 2" xfId="167" xr:uid="{F54B5A03-D9C5-4F3C-BE15-C210D6E1B8EE}"/>
    <cellStyle name="Normal 7" xfId="168" xr:uid="{B896D84B-A6A2-49E8-87A1-48CC9DD59D56}"/>
    <cellStyle name="Normal 7 2" xfId="169" xr:uid="{35E3E6EB-02DB-417C-B274-21641D3A343A}"/>
    <cellStyle name="Normal 7 3" xfId="170" xr:uid="{52E6AADF-25F9-4524-8E1E-D133CFC04FAF}"/>
    <cellStyle name="Normal 8" xfId="171" xr:uid="{EFA47E02-C685-4193-A188-1A2DABDF65EE}"/>
    <cellStyle name="Normal 8 2" xfId="172" xr:uid="{79837CB8-E5A2-402F-858F-BA79E2783632}"/>
    <cellStyle name="Normal 9" xfId="173" xr:uid="{253787A4-65E6-4258-9EF1-C4B1F57FC2E4}"/>
    <cellStyle name="Normal_(AJ)  Module List- Course Blue Print ELTP 2008 - V 1.0" xfId="174" xr:uid="{2DBDEDC2-D1D7-4A16-8A3D-8ACE4884CD27}"/>
    <cellStyle name="Note 2" xfId="175" xr:uid="{36701A6E-2818-4657-B580-83DE6CB708F9}"/>
    <cellStyle name="Note 2 2" xfId="176" xr:uid="{10C5402C-2988-4237-AA81-EC2BB219A739}"/>
    <cellStyle name="Note 3" xfId="177" xr:uid="{F6157549-9F77-44F7-A13F-3324CF4F7ECA}"/>
    <cellStyle name="Output 2" xfId="178" xr:uid="{C3776AA2-1EC8-4CF0-8A94-94F1C2F24397}"/>
    <cellStyle name="Output 2 2" xfId="179" xr:uid="{915205B9-9A61-4EB8-A60B-59826117C873}"/>
    <cellStyle name="Style 1" xfId="180" xr:uid="{31382384-F08F-497E-AAD9-3F05C76B11F5}"/>
    <cellStyle name="Style 1 2" xfId="181" xr:uid="{AEEA1EB1-21C4-4C65-9F6C-3155F8DE996A}"/>
    <cellStyle name="Title 2" xfId="182" xr:uid="{9FD12973-6647-4442-9F07-30898974441F}"/>
    <cellStyle name="Total 2" xfId="183" xr:uid="{8DB82536-9765-4883-B712-2DDABB41429C}"/>
    <cellStyle name="Total 2 2" xfId="184" xr:uid="{ACF39D22-10ED-48DC-A66A-81B2864D7DF6}"/>
    <cellStyle name="Warning Text 2" xfId="185" xr:uid="{F486843E-AE4F-4D86-B258-D2F4EFA416C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myacademy/eltcms/course/view.php?id=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cognizant.udemy.com/course/modern-java-learn-java-8-features-by-coding-i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hyperlink" Target="https://cognizant.udemy.com/course/awsintr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onecognizant.cognizant.com/Home?GlobalAppID=1738&amp;URL=https://onecognizantazrapps.cognizant.com/1738/MLSApp/Pathway/viewpathway?page=90994272" TargetMode="Externa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s://cognizant.udemy.com/course/spring-boot-security-and-oauth2/" TargetMode="External"/><Relationship Id="rId7" Type="http://schemas.openxmlformats.org/officeDocument/2006/relationships/hyperlink" Target="https://cognizant.udemy.com/course/spring-boot-microservices-and-spring-cloud/" TargetMode="External"/><Relationship Id="rId2" Type="http://schemas.openxmlformats.org/officeDocument/2006/relationships/hyperlink" Target="https://cognizant.udemy.com/course/spring-boot-tutorial-for-beginners/" TargetMode="External"/><Relationship Id="rId1" Type="http://schemas.openxmlformats.org/officeDocument/2006/relationships/hyperlink" Target="https://cognizant.udemy.com/course/spring-tutorial-for-beginners/" TargetMode="External"/><Relationship Id="rId6" Type="http://schemas.openxmlformats.org/officeDocument/2006/relationships/hyperlink" Target="https://cognizant.udemy.com/course/introduction-to-microservices/" TargetMode="External"/><Relationship Id="rId5" Type="http://schemas.openxmlformats.org/officeDocument/2006/relationships/hyperlink" Target="https://cognizant.udemy.com/course/learn-kubernetes/" TargetMode="External"/><Relationship Id="rId4" Type="http://schemas.openxmlformats.org/officeDocument/2006/relationships/hyperlink" Target="https://cognizant.udemy.com/course/learn-docker/"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cognizant.udemy.com/course/xml-and-xml-schema-definition-in-easy-steps/" TargetMode="External"/><Relationship Id="rId2" Type="http://schemas.openxmlformats.org/officeDocument/2006/relationships/hyperlink" Target="https://cognizant.udemy.com/course/java-ee-fundamentals/" TargetMode="External"/><Relationship Id="rId1" Type="http://schemas.openxmlformats.org/officeDocument/2006/relationships/hyperlink" Target="https://cognizant.udemy.com/course/java-the-complete-java-developer-course/learn/lecture/9400918" TargetMode="External"/><Relationship Id="rId6" Type="http://schemas.openxmlformats.org/officeDocument/2006/relationships/printerSettings" Target="../printerSettings/printerSettings10.bin"/><Relationship Id="rId5" Type="http://schemas.openxmlformats.org/officeDocument/2006/relationships/hyperlink" Target="https://cognizant.udemy.com/course/the-ultimate-mysql-bootcamp-go-from-sql-beginner-to-expert/" TargetMode="External"/><Relationship Id="rId4" Type="http://schemas.openxmlformats.org/officeDocument/2006/relationships/hyperlink" Target="https://cognizant.udemy.com/course/spring-web-services-tutoria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oracle.com/in/middleware/technologies/soasuite/downloads.htm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hyperlink" Target="https://cognizant.udemy.com/course/java-ee-fundament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403E-2613-4814-BAE8-D97266D1B938}">
  <sheetPr>
    <tabColor theme="3" tint="-0.249977111117893"/>
  </sheetPr>
  <dimension ref="A1:O37"/>
  <sheetViews>
    <sheetView showGridLines="0" zoomScaleNormal="100" workbookViewId="0">
      <pane ySplit="1" topLeftCell="A6" activePane="bottomLeft" state="frozen"/>
      <selection sqref="A1:G20"/>
      <selection pane="bottomLeft" activeCell="A15" sqref="A15:IV15"/>
    </sheetView>
  </sheetViews>
  <sheetFormatPr defaultColWidth="15.81640625" defaultRowHeight="13" x14ac:dyDescent="0.35"/>
  <cols>
    <col min="1" max="1" width="16" style="1" customWidth="1"/>
    <col min="2" max="2" width="48.26953125" style="1" bestFit="1" customWidth="1"/>
    <col min="3" max="3" width="15.54296875" style="1" customWidth="1"/>
    <col min="4" max="5" width="12.7265625" style="14" customWidth="1"/>
    <col min="6" max="6" width="7.1796875" style="1" bestFit="1" customWidth="1"/>
    <col min="7" max="7" width="10.453125" style="1" customWidth="1"/>
    <col min="8" max="8" width="27" style="1" customWidth="1"/>
    <col min="9" max="9" width="30.26953125" style="1" bestFit="1" customWidth="1"/>
    <col min="10" max="16384" width="15.81640625" style="4"/>
  </cols>
  <sheetData>
    <row r="1" spans="1:9" s="3" customFormat="1" ht="29.25" customHeight="1" x14ac:dyDescent="0.35">
      <c r="A1" s="7" t="s">
        <v>0</v>
      </c>
      <c r="B1" s="7" t="s">
        <v>1</v>
      </c>
      <c r="C1" s="7" t="s">
        <v>2</v>
      </c>
      <c r="D1" s="7" t="s">
        <v>3</v>
      </c>
      <c r="E1" s="7" t="s">
        <v>4</v>
      </c>
      <c r="F1" s="7" t="s">
        <v>5</v>
      </c>
      <c r="G1" s="7" t="s">
        <v>6</v>
      </c>
      <c r="H1" s="7" t="s">
        <v>7</v>
      </c>
      <c r="I1" s="7" t="s">
        <v>8</v>
      </c>
    </row>
    <row r="2" spans="1:9" s="3" customFormat="1" ht="21" x14ac:dyDescent="0.35">
      <c r="A2" s="5" t="s">
        <v>9</v>
      </c>
      <c r="B2" s="20" t="s">
        <v>10</v>
      </c>
      <c r="C2" s="6" t="s">
        <v>11</v>
      </c>
      <c r="D2" s="6">
        <v>40</v>
      </c>
      <c r="E2" s="6"/>
      <c r="F2" s="6" t="s">
        <v>12</v>
      </c>
      <c r="G2" s="6"/>
      <c r="H2" s="6"/>
      <c r="I2" s="180"/>
    </row>
    <row r="3" spans="1:9" ht="13.5" customHeight="1" x14ac:dyDescent="0.35">
      <c r="A3" s="5" t="s">
        <v>9</v>
      </c>
      <c r="B3" s="20" t="s">
        <v>13</v>
      </c>
      <c r="C3" s="20" t="s">
        <v>11</v>
      </c>
      <c r="D3" s="20">
        <v>24</v>
      </c>
      <c r="E3" s="6"/>
      <c r="F3" s="6" t="s">
        <v>14</v>
      </c>
      <c r="G3" s="6"/>
      <c r="H3" s="6"/>
      <c r="I3" s="181"/>
    </row>
    <row r="4" spans="1:9" ht="13.5" customHeight="1" x14ac:dyDescent="0.35">
      <c r="A4" s="5" t="s">
        <v>9</v>
      </c>
      <c r="B4" s="20" t="s">
        <v>15</v>
      </c>
      <c r="C4" s="20" t="s">
        <v>11</v>
      </c>
      <c r="D4" s="20">
        <v>8</v>
      </c>
      <c r="E4" s="6"/>
      <c r="F4" s="6" t="s">
        <v>12</v>
      </c>
      <c r="G4" s="6"/>
      <c r="H4" s="6"/>
      <c r="I4" s="181"/>
    </row>
    <row r="5" spans="1:9" s="3" customFormat="1" x14ac:dyDescent="0.35">
      <c r="A5" s="5" t="s">
        <v>9</v>
      </c>
      <c r="B5" s="20" t="s">
        <v>16</v>
      </c>
      <c r="C5" s="20" t="s">
        <v>17</v>
      </c>
      <c r="D5" s="20">
        <v>40</v>
      </c>
      <c r="E5" s="6"/>
      <c r="F5" s="6" t="s">
        <v>18</v>
      </c>
      <c r="G5" s="6"/>
      <c r="H5" s="6"/>
      <c r="I5" s="180"/>
    </row>
    <row r="6" spans="1:9" s="3" customFormat="1" x14ac:dyDescent="0.35">
      <c r="A6" s="5" t="s">
        <v>19</v>
      </c>
      <c r="B6" s="20" t="s">
        <v>20</v>
      </c>
      <c r="C6" s="6" t="s">
        <v>21</v>
      </c>
      <c r="D6" s="20">
        <v>3</v>
      </c>
      <c r="E6" s="11"/>
      <c r="F6" s="6" t="s">
        <v>18</v>
      </c>
      <c r="G6" s="6" t="s">
        <v>18</v>
      </c>
      <c r="H6" s="11"/>
      <c r="I6" s="11"/>
    </row>
    <row r="7" spans="1:9" s="3" customFormat="1" x14ac:dyDescent="0.35">
      <c r="A7" s="5" t="s">
        <v>9</v>
      </c>
      <c r="B7" s="20" t="s">
        <v>22</v>
      </c>
      <c r="C7" s="20" t="s">
        <v>23</v>
      </c>
      <c r="D7" s="20">
        <v>84</v>
      </c>
      <c r="E7" s="6"/>
      <c r="F7" s="6" t="s">
        <v>18</v>
      </c>
      <c r="G7" s="6"/>
      <c r="H7" s="12"/>
      <c r="I7" s="180"/>
    </row>
    <row r="8" spans="1:9" s="3" customFormat="1" x14ac:dyDescent="0.35">
      <c r="A8" s="5" t="s">
        <v>19</v>
      </c>
      <c r="B8" s="20" t="s">
        <v>24</v>
      </c>
      <c r="C8" s="6" t="s">
        <v>21</v>
      </c>
      <c r="D8" s="20">
        <v>3</v>
      </c>
      <c r="E8" s="6"/>
      <c r="F8" s="6" t="s">
        <v>18</v>
      </c>
      <c r="G8" s="6" t="s">
        <v>18</v>
      </c>
      <c r="H8" s="6"/>
      <c r="I8" s="180"/>
    </row>
    <row r="9" spans="1:9" s="3" customFormat="1" ht="21" x14ac:dyDescent="0.35">
      <c r="A9" s="5" t="s">
        <v>9</v>
      </c>
      <c r="B9" s="118" t="s">
        <v>25</v>
      </c>
      <c r="C9" s="20" t="s">
        <v>11</v>
      </c>
      <c r="D9" s="20">
        <v>15</v>
      </c>
      <c r="E9" s="6"/>
      <c r="F9" s="6" t="s">
        <v>12</v>
      </c>
      <c r="G9" s="6"/>
      <c r="H9" s="6"/>
      <c r="I9" s="180"/>
    </row>
    <row r="10" spans="1:9" s="3" customFormat="1" ht="21" x14ac:dyDescent="0.35">
      <c r="A10" s="5" t="s">
        <v>9</v>
      </c>
      <c r="B10" s="20" t="s">
        <v>26</v>
      </c>
      <c r="C10" s="20" t="s">
        <v>11</v>
      </c>
      <c r="D10" s="20">
        <v>15</v>
      </c>
      <c r="E10" s="6"/>
      <c r="F10" s="6" t="s">
        <v>12</v>
      </c>
      <c r="G10" s="6"/>
      <c r="H10" s="6"/>
      <c r="I10" s="180"/>
    </row>
    <row r="11" spans="1:9" s="3" customFormat="1" ht="21" x14ac:dyDescent="0.35">
      <c r="A11" s="5" t="s">
        <v>9</v>
      </c>
      <c r="B11" s="20" t="s">
        <v>27</v>
      </c>
      <c r="C11" s="20" t="s">
        <v>11</v>
      </c>
      <c r="D11" s="20">
        <v>15</v>
      </c>
      <c r="E11" s="6"/>
      <c r="F11" s="6" t="s">
        <v>12</v>
      </c>
      <c r="G11" s="6"/>
      <c r="H11" s="6"/>
      <c r="I11" s="180"/>
    </row>
    <row r="12" spans="1:9" s="3" customFormat="1" ht="21" x14ac:dyDescent="0.35">
      <c r="A12" s="5" t="s">
        <v>9</v>
      </c>
      <c r="B12" s="20" t="s">
        <v>28</v>
      </c>
      <c r="C12" s="6" t="s">
        <v>11</v>
      </c>
      <c r="D12" s="6">
        <v>8</v>
      </c>
      <c r="E12" s="6"/>
      <c r="F12" s="6" t="s">
        <v>12</v>
      </c>
      <c r="G12" s="6"/>
      <c r="H12" s="6"/>
      <c r="I12" s="180"/>
    </row>
    <row r="13" spans="1:9" s="3" customFormat="1" ht="21" x14ac:dyDescent="0.35">
      <c r="A13" s="5" t="s">
        <v>9</v>
      </c>
      <c r="B13" s="20" t="s">
        <v>29</v>
      </c>
      <c r="C13" s="20" t="s">
        <v>11</v>
      </c>
      <c r="D13" s="20">
        <v>15</v>
      </c>
      <c r="E13" s="11"/>
      <c r="F13" s="6" t="s">
        <v>12</v>
      </c>
      <c r="G13" s="6"/>
      <c r="H13" s="11"/>
      <c r="I13" s="11"/>
    </row>
    <row r="14" spans="1:9" s="3" customFormat="1" ht="21" x14ac:dyDescent="0.35">
      <c r="A14" s="5" t="s">
        <v>9</v>
      </c>
      <c r="B14" s="20" t="s">
        <v>30</v>
      </c>
      <c r="C14" s="20" t="s">
        <v>11</v>
      </c>
      <c r="D14" s="20">
        <v>8</v>
      </c>
      <c r="E14" s="11"/>
      <c r="F14" s="6" t="s">
        <v>12</v>
      </c>
      <c r="G14" s="6"/>
      <c r="H14" s="11"/>
      <c r="I14" s="11"/>
    </row>
    <row r="15" spans="1:9" s="3" customFormat="1" x14ac:dyDescent="0.35">
      <c r="A15" s="121" t="s">
        <v>9</v>
      </c>
      <c r="B15" s="122" t="s">
        <v>31</v>
      </c>
      <c r="C15" s="122"/>
      <c r="D15" s="122">
        <v>200</v>
      </c>
      <c r="E15" s="11"/>
      <c r="F15" s="11"/>
      <c r="G15" s="11"/>
      <c r="H15" s="11"/>
      <c r="I15" s="11"/>
    </row>
    <row r="16" spans="1:9" ht="15" customHeight="1" x14ac:dyDescent="0.35">
      <c r="A16" s="182"/>
      <c r="B16" s="182"/>
      <c r="C16" s="183"/>
      <c r="D16" s="182">
        <f>SUM(D2:D15)</f>
        <v>478</v>
      </c>
      <c r="E16" s="182"/>
      <c r="F16" s="182"/>
      <c r="G16" s="182"/>
      <c r="H16" s="182"/>
      <c r="I16" s="182"/>
    </row>
    <row r="18" spans="1:9" ht="14.5" x14ac:dyDescent="0.35">
      <c r="A18" s="184"/>
      <c r="B18" s="212" t="s">
        <v>32</v>
      </c>
      <c r="C18" s="212"/>
      <c r="D18" s="185">
        <f>D16/8</f>
        <v>59.75</v>
      </c>
      <c r="E18" s="186"/>
      <c r="F18" s="187"/>
      <c r="G18" s="188"/>
      <c r="H18" s="184"/>
      <c r="I18" s="184"/>
    </row>
    <row r="19" spans="1:9" ht="15" customHeight="1" x14ac:dyDescent="0.35">
      <c r="A19" s="184"/>
      <c r="B19" s="212" t="s">
        <v>33</v>
      </c>
      <c r="C19" s="212"/>
      <c r="D19" s="185">
        <f>D18/5</f>
        <v>11.95</v>
      </c>
      <c r="E19" s="189"/>
      <c r="F19" s="210" t="s">
        <v>34</v>
      </c>
      <c r="G19" s="211"/>
      <c r="H19" s="211"/>
      <c r="I19" s="184"/>
    </row>
    <row r="22" spans="1:9" s="97" customFormat="1" ht="11" thickBot="1" x14ac:dyDescent="0.3">
      <c r="A22" s="213"/>
      <c r="B22" s="213"/>
      <c r="C22" s="213"/>
      <c r="D22" s="213"/>
      <c r="E22" s="213"/>
    </row>
    <row r="23" spans="1:9" s="97" customFormat="1" ht="11" thickBot="1" x14ac:dyDescent="0.3">
      <c r="A23" s="98" t="s">
        <v>35</v>
      </c>
      <c r="B23" s="98" t="s">
        <v>36</v>
      </c>
      <c r="C23" s="98" t="s">
        <v>37</v>
      </c>
      <c r="D23" s="98" t="s">
        <v>3</v>
      </c>
      <c r="E23" s="98" t="s">
        <v>4</v>
      </c>
      <c r="F23" s="98" t="s">
        <v>5</v>
      </c>
      <c r="G23" s="98" t="s">
        <v>6</v>
      </c>
      <c r="H23" s="98" t="s">
        <v>7</v>
      </c>
      <c r="I23" s="99" t="s">
        <v>8</v>
      </c>
    </row>
    <row r="24" spans="1:9" s="104" customFormat="1" ht="10.5" x14ac:dyDescent="0.25">
      <c r="A24" s="100" t="s">
        <v>9</v>
      </c>
      <c r="B24" s="101" t="s">
        <v>38</v>
      </c>
      <c r="C24" s="102" t="s">
        <v>39</v>
      </c>
      <c r="D24" s="102">
        <v>2.5</v>
      </c>
      <c r="E24" s="100" t="s">
        <v>40</v>
      </c>
      <c r="F24" s="100" t="s">
        <v>14</v>
      </c>
      <c r="H24" s="100"/>
      <c r="I24" s="103"/>
    </row>
    <row r="25" spans="1:9" s="104" customFormat="1" ht="10.5" x14ac:dyDescent="0.25">
      <c r="A25" s="100" t="s">
        <v>9</v>
      </c>
      <c r="B25" s="101" t="s">
        <v>41</v>
      </c>
      <c r="C25" s="102" t="s">
        <v>39</v>
      </c>
      <c r="D25" s="102">
        <v>2</v>
      </c>
      <c r="E25" s="100" t="s">
        <v>40</v>
      </c>
      <c r="F25" s="100" t="s">
        <v>14</v>
      </c>
      <c r="H25" s="100"/>
      <c r="I25" s="103"/>
    </row>
    <row r="26" spans="1:9" s="104" customFormat="1" ht="10.5" x14ac:dyDescent="0.25">
      <c r="A26" s="100" t="s">
        <v>9</v>
      </c>
      <c r="B26" s="101" t="s">
        <v>42</v>
      </c>
      <c r="C26" s="102" t="s">
        <v>39</v>
      </c>
      <c r="D26" s="102">
        <v>1</v>
      </c>
      <c r="E26" s="100" t="s">
        <v>40</v>
      </c>
      <c r="F26" s="100" t="s">
        <v>14</v>
      </c>
      <c r="H26" s="100"/>
      <c r="I26" s="103"/>
    </row>
    <row r="27" spans="1:9" s="104" customFormat="1" ht="10.5" x14ac:dyDescent="0.25">
      <c r="A27" s="100" t="s">
        <v>9</v>
      </c>
      <c r="B27" s="101" t="s">
        <v>43</v>
      </c>
      <c r="C27" s="102" t="s">
        <v>39</v>
      </c>
      <c r="D27" s="102">
        <v>1</v>
      </c>
      <c r="E27" s="100" t="s">
        <v>40</v>
      </c>
      <c r="F27" s="100" t="s">
        <v>14</v>
      </c>
      <c r="H27" s="100"/>
      <c r="I27" s="103"/>
    </row>
    <row r="28" spans="1:9" s="104" customFormat="1" ht="10.5" x14ac:dyDescent="0.25">
      <c r="A28" s="100" t="s">
        <v>9</v>
      </c>
      <c r="B28" s="101" t="s">
        <v>44</v>
      </c>
      <c r="C28" s="102" t="s">
        <v>39</v>
      </c>
      <c r="D28" s="102">
        <v>2</v>
      </c>
      <c r="E28" s="100" t="s">
        <v>40</v>
      </c>
      <c r="F28" s="100" t="s">
        <v>14</v>
      </c>
      <c r="H28" s="100"/>
      <c r="I28" s="103"/>
    </row>
    <row r="29" spans="1:9" s="104" customFormat="1" ht="10.5" x14ac:dyDescent="0.25">
      <c r="A29" s="100" t="s">
        <v>9</v>
      </c>
      <c r="B29" s="101" t="s">
        <v>45</v>
      </c>
      <c r="C29" s="102" t="s">
        <v>39</v>
      </c>
      <c r="D29" s="102">
        <v>2</v>
      </c>
      <c r="E29" s="100" t="s">
        <v>40</v>
      </c>
      <c r="F29" s="100" t="s">
        <v>14</v>
      </c>
      <c r="H29" s="100"/>
      <c r="I29" s="103"/>
    </row>
    <row r="30" spans="1:9" s="104" customFormat="1" ht="10.5" x14ac:dyDescent="0.25">
      <c r="A30" s="100" t="s">
        <v>9</v>
      </c>
      <c r="B30" s="101" t="s">
        <v>46</v>
      </c>
      <c r="C30" s="102" t="s">
        <v>39</v>
      </c>
      <c r="D30" s="102">
        <v>8</v>
      </c>
      <c r="E30" s="100" t="s">
        <v>40</v>
      </c>
      <c r="F30" s="100" t="s">
        <v>14</v>
      </c>
      <c r="H30" s="100"/>
      <c r="I30" s="103"/>
    </row>
    <row r="31" spans="1:9" s="114" customFormat="1" ht="21" x14ac:dyDescent="0.35">
      <c r="A31" s="111" t="s">
        <v>9</v>
      </c>
      <c r="B31" s="111" t="s">
        <v>47</v>
      </c>
      <c r="C31" s="112" t="s">
        <v>39</v>
      </c>
      <c r="D31" s="112">
        <v>7</v>
      </c>
      <c r="E31" s="111" t="s">
        <v>40</v>
      </c>
      <c r="F31" s="111" t="s">
        <v>12</v>
      </c>
      <c r="G31" s="111"/>
      <c r="H31" s="111"/>
      <c r="I31" s="113"/>
    </row>
    <row r="32" spans="1:9" s="114" customFormat="1" x14ac:dyDescent="0.35">
      <c r="A32" s="111" t="s">
        <v>9</v>
      </c>
      <c r="B32" s="112" t="s">
        <v>48</v>
      </c>
      <c r="C32" s="112" t="s">
        <v>39</v>
      </c>
      <c r="D32" s="112">
        <v>17.5</v>
      </c>
      <c r="E32" s="111" t="s">
        <v>40</v>
      </c>
      <c r="F32" s="111" t="s">
        <v>12</v>
      </c>
      <c r="G32" s="111"/>
      <c r="H32" s="111"/>
      <c r="I32" s="113"/>
    </row>
    <row r="33" spans="1:15" s="114" customFormat="1" x14ac:dyDescent="0.35">
      <c r="A33" s="115" t="s">
        <v>9</v>
      </c>
      <c r="B33" s="116" t="s">
        <v>49</v>
      </c>
      <c r="C33" s="116" t="s">
        <v>39</v>
      </c>
      <c r="D33" s="116">
        <v>5</v>
      </c>
      <c r="E33" s="115" t="s">
        <v>40</v>
      </c>
      <c r="F33" s="115" t="s">
        <v>12</v>
      </c>
      <c r="G33" s="115"/>
      <c r="H33" s="115"/>
      <c r="I33" s="117"/>
    </row>
    <row r="34" spans="1:15" s="97" customFormat="1" ht="11" thickBot="1" x14ac:dyDescent="0.3">
      <c r="A34" s="105"/>
      <c r="B34" s="105"/>
      <c r="C34" s="105"/>
      <c r="D34" s="105">
        <f>SUM(D24:D33)</f>
        <v>48</v>
      </c>
      <c r="E34" s="105"/>
      <c r="F34" s="105"/>
      <c r="G34" s="105"/>
      <c r="H34" s="105"/>
      <c r="I34" s="106"/>
    </row>
    <row r="35" spans="1:15" s="97" customFormat="1" ht="10.5" x14ac:dyDescent="0.25">
      <c r="E35" s="107"/>
      <c r="J35" s="107"/>
      <c r="K35" s="107"/>
      <c r="L35" s="107"/>
      <c r="M35" s="107"/>
      <c r="N35" s="107"/>
      <c r="O35" s="107"/>
    </row>
    <row r="36" spans="1:15" s="97" customFormat="1" ht="10.5" x14ac:dyDescent="0.25">
      <c r="C36" s="108" t="s">
        <v>32</v>
      </c>
      <c r="D36" s="108"/>
      <c r="E36" s="109">
        <f>D34/8</f>
        <v>6</v>
      </c>
      <c r="G36" s="110"/>
    </row>
    <row r="37" spans="1:15" s="97" customFormat="1" ht="10.5" x14ac:dyDescent="0.25">
      <c r="C37" s="108" t="s">
        <v>33</v>
      </c>
      <c r="D37" s="108"/>
      <c r="E37" s="109">
        <f>E36/5</f>
        <v>1.2</v>
      </c>
      <c r="F37" s="214"/>
      <c r="G37" s="215"/>
    </row>
  </sheetData>
  <autoFilter ref="A1:I1" xr:uid="{D60BFCCF-43A9-413E-9AF8-1D34AA9586F9}"/>
  <mergeCells count="5">
    <mergeCell ref="F19:H19"/>
    <mergeCell ref="B18:C18"/>
    <mergeCell ref="B19:C19"/>
    <mergeCell ref="A22:E22"/>
    <mergeCell ref="F37:G37"/>
  </mergeCells>
  <phoneticPr fontId="49" type="noConversion"/>
  <dataValidations count="6">
    <dataValidation type="list" allowBlank="1" showInputMessage="1" showErrorMessage="1" sqref="C16" xr:uid="{8CFDA329-9EF4-49A4-B658-AC13F0BD6CAF}">
      <formula1>"ILT,Elearning,ILT &amp; Elearning,Assessment"</formula1>
    </dataValidation>
    <dataValidation type="list" allowBlank="1" showInputMessage="1" showErrorMessage="1" sqref="C5 C32:C33 C24:C30 C10:C11" xr:uid="{5ED9A00E-464D-4612-96ED-74A375F68070}">
      <formula1>"ILT,Elearning,ILT &amp; Elearning,Assessment,NA"</formula1>
    </dataValidation>
    <dataValidation type="list" allowBlank="1" showInputMessage="1" showErrorMessage="1" sqref="C7 C31 C13:C15" xr:uid="{1C8C20BB-23EE-4F28-9FE9-BAAFF8779EE7}">
      <formula1>"ILT,Elearning,ThinkLab,ILT &amp; Elearning"</formula1>
    </dataValidation>
    <dataValidation type="list" allowBlank="1" showInputMessage="1" showErrorMessage="1" sqref="C6 C2:C4 C8:C9" xr:uid="{50275172-4C59-4B50-A21D-566D6D11FA9F}">
      <formula1>"ILT,Elearning,ThinkLab,ILT &amp; Elearning,Certification"</formula1>
    </dataValidation>
    <dataValidation type="list" allowBlank="1" showInputMessage="1" showErrorMessage="1" sqref="F24:F30 F31:G33 F2:G15" xr:uid="{BF5EA6E8-E673-46B6-A137-445A361AADA7}">
      <formula1>"Knowledge,Skill,Awareness"</formula1>
    </dataValidation>
    <dataValidation type="list" allowBlank="1" showInputMessage="1" showErrorMessage="1" sqref="E24:E33 E2:E15" xr:uid="{7FF9982B-F128-47C2-8FFA-427C4A3AA4B3}">
      <formula1>"Yes,No"</formula1>
    </dataValidation>
  </dataValidations>
  <hyperlinks>
    <hyperlink ref="G17" r:id="rId1" display="http://myacademy/eltcms/course/view.php?id=40" xr:uid="{DC452273-9F32-443F-9517-076140D341E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94C86-7FF9-44AD-9335-C0AE04B4A798}">
  <sheetPr>
    <tabColor theme="3" tint="-0.249977111117893"/>
  </sheetPr>
  <dimension ref="A1:I20"/>
  <sheetViews>
    <sheetView showGridLines="0" tabSelected="1" zoomScaleNormal="100" workbookViewId="0">
      <pane ySplit="1" topLeftCell="A2" activePane="bottomLeft" state="frozen"/>
      <selection sqref="A1:G20"/>
      <selection pane="bottomLeft" activeCell="D10" sqref="D10"/>
    </sheetView>
  </sheetViews>
  <sheetFormatPr defaultColWidth="15.81640625" defaultRowHeight="13" x14ac:dyDescent="0.35"/>
  <cols>
    <col min="1" max="1" width="10.7265625" style="124" customWidth="1"/>
    <col min="2" max="2" width="16" style="126" customWidth="1"/>
    <col min="3" max="3" width="53.81640625" style="125" customWidth="1"/>
    <col min="4" max="4" width="22.54296875" style="125" customWidth="1"/>
    <col min="5" max="5" width="12.7265625" style="126" customWidth="1"/>
    <col min="6" max="6" width="12.26953125" style="125" customWidth="1"/>
    <col min="7" max="7" width="13.26953125" style="125" customWidth="1"/>
    <col min="8" max="8" width="31.26953125" style="125" customWidth="1"/>
    <col min="9" max="9" width="16.453125" style="125" customWidth="1"/>
    <col min="10" max="16384" width="15.81640625" style="124"/>
  </cols>
  <sheetData>
    <row r="1" spans="1:9" s="123" customFormat="1" ht="29.25" customHeight="1" x14ac:dyDescent="0.35">
      <c r="A1" s="136" t="s">
        <v>50</v>
      </c>
      <c r="B1" s="136" t="s">
        <v>0</v>
      </c>
      <c r="C1" s="136" t="s">
        <v>1</v>
      </c>
      <c r="D1" s="136" t="s">
        <v>2</v>
      </c>
      <c r="E1" s="136" t="s">
        <v>3</v>
      </c>
      <c r="F1" s="136" t="s">
        <v>5</v>
      </c>
      <c r="G1" s="136" t="s">
        <v>6</v>
      </c>
      <c r="H1" s="136" t="s">
        <v>7</v>
      </c>
      <c r="I1" s="136" t="s">
        <v>8</v>
      </c>
    </row>
    <row r="2" spans="1:9" s="123" customFormat="1" x14ac:dyDescent="0.35">
      <c r="A2" s="137" t="s">
        <v>51</v>
      </c>
      <c r="B2" s="137" t="s">
        <v>9</v>
      </c>
      <c r="C2" s="138" t="s">
        <v>10</v>
      </c>
      <c r="D2" s="137" t="s">
        <v>52</v>
      </c>
      <c r="E2" s="139">
        <v>39</v>
      </c>
      <c r="F2" s="137" t="s">
        <v>12</v>
      </c>
      <c r="G2" s="137" t="s">
        <v>18</v>
      </c>
      <c r="H2" s="137"/>
      <c r="I2" s="137" t="s">
        <v>53</v>
      </c>
    </row>
    <row r="3" spans="1:9" s="123" customFormat="1" x14ac:dyDescent="0.35">
      <c r="A3" s="137" t="s">
        <v>54</v>
      </c>
      <c r="B3" s="137" t="s">
        <v>9</v>
      </c>
      <c r="C3" s="138" t="s">
        <v>55</v>
      </c>
      <c r="D3" s="137" t="s">
        <v>52</v>
      </c>
      <c r="E3" s="139">
        <v>20</v>
      </c>
      <c r="F3" s="137" t="s">
        <v>12</v>
      </c>
      <c r="G3" s="137" t="s">
        <v>18</v>
      </c>
      <c r="H3" s="137"/>
      <c r="I3" s="137"/>
    </row>
    <row r="4" spans="1:9" s="123" customFormat="1" x14ac:dyDescent="0.35">
      <c r="A4" s="137" t="s">
        <v>54</v>
      </c>
      <c r="B4" s="137" t="s">
        <v>9</v>
      </c>
      <c r="C4" s="138" t="s">
        <v>26</v>
      </c>
      <c r="D4" s="137" t="s">
        <v>56</v>
      </c>
      <c r="E4" s="138">
        <v>16</v>
      </c>
      <c r="F4" s="137" t="s">
        <v>12</v>
      </c>
      <c r="G4" s="137" t="s">
        <v>12</v>
      </c>
      <c r="H4" s="137"/>
      <c r="I4" s="137" t="s">
        <v>53</v>
      </c>
    </row>
    <row r="5" spans="1:9" s="123" customFormat="1" x14ac:dyDescent="0.35">
      <c r="A5" s="137" t="s">
        <v>54</v>
      </c>
      <c r="B5" s="137" t="s">
        <v>9</v>
      </c>
      <c r="C5" s="138" t="s">
        <v>27</v>
      </c>
      <c r="D5" s="137" t="s">
        <v>56</v>
      </c>
      <c r="E5" s="138">
        <v>16</v>
      </c>
      <c r="F5" s="137" t="s">
        <v>12</v>
      </c>
      <c r="G5" s="137" t="s">
        <v>12</v>
      </c>
      <c r="H5" s="137"/>
      <c r="I5" s="137" t="s">
        <v>53</v>
      </c>
    </row>
    <row r="6" spans="1:9" s="123" customFormat="1" x14ac:dyDescent="0.35">
      <c r="A6" s="137" t="s">
        <v>54</v>
      </c>
      <c r="B6" s="137" t="s">
        <v>9</v>
      </c>
      <c r="C6" s="138" t="s">
        <v>57</v>
      </c>
      <c r="D6" s="137" t="s">
        <v>56</v>
      </c>
      <c r="E6" s="138">
        <v>8</v>
      </c>
      <c r="F6" s="137" t="s">
        <v>12</v>
      </c>
      <c r="G6" s="137" t="s">
        <v>12</v>
      </c>
      <c r="H6" s="137"/>
      <c r="I6" s="137" t="s">
        <v>53</v>
      </c>
    </row>
    <row r="7" spans="1:9" s="123" customFormat="1" x14ac:dyDescent="0.35">
      <c r="A7" s="137" t="s">
        <v>54</v>
      </c>
      <c r="B7" s="137" t="s">
        <v>58</v>
      </c>
      <c r="C7" s="138" t="s">
        <v>59</v>
      </c>
      <c r="D7" s="137" t="s">
        <v>19</v>
      </c>
      <c r="E7" s="138">
        <v>2</v>
      </c>
      <c r="F7" s="137" t="s">
        <v>12</v>
      </c>
      <c r="G7" s="137" t="s">
        <v>12</v>
      </c>
      <c r="H7" s="137"/>
      <c r="I7" s="137" t="s">
        <v>53</v>
      </c>
    </row>
    <row r="8" spans="1:9" s="123" customFormat="1" x14ac:dyDescent="0.35">
      <c r="A8" s="137" t="s">
        <v>54</v>
      </c>
      <c r="B8" s="204" t="s">
        <v>9</v>
      </c>
      <c r="C8" s="138" t="s">
        <v>25</v>
      </c>
      <c r="D8" s="137" t="s">
        <v>52</v>
      </c>
      <c r="E8" s="138">
        <v>16</v>
      </c>
      <c r="F8" s="137" t="s">
        <v>12</v>
      </c>
      <c r="G8" s="137" t="s">
        <v>12</v>
      </c>
      <c r="H8" s="137"/>
      <c r="I8" s="137"/>
    </row>
    <row r="9" spans="1:9" s="123" customFormat="1" x14ac:dyDescent="0.35">
      <c r="A9" s="137" t="s">
        <v>60</v>
      </c>
      <c r="B9" s="137" t="s">
        <v>9</v>
      </c>
      <c r="C9" s="138" t="s">
        <v>61</v>
      </c>
      <c r="D9" s="137" t="s">
        <v>56</v>
      </c>
      <c r="E9" s="138">
        <v>3</v>
      </c>
      <c r="F9" s="137" t="s">
        <v>12</v>
      </c>
      <c r="G9" s="137" t="s">
        <v>12</v>
      </c>
      <c r="H9" s="137"/>
      <c r="I9" s="137" t="s">
        <v>53</v>
      </c>
    </row>
    <row r="10" spans="1:9" s="123" customFormat="1" ht="13.5" customHeight="1" x14ac:dyDescent="0.35">
      <c r="A10" s="137" t="s">
        <v>62</v>
      </c>
      <c r="B10" s="137" t="s">
        <v>9</v>
      </c>
      <c r="C10" s="138" t="s">
        <v>63</v>
      </c>
      <c r="D10" s="137" t="s">
        <v>56</v>
      </c>
      <c r="E10" s="138">
        <v>3</v>
      </c>
      <c r="F10" s="138" t="s">
        <v>12</v>
      </c>
      <c r="G10" s="138" t="s">
        <v>12</v>
      </c>
      <c r="H10" s="137"/>
      <c r="I10" s="137" t="s">
        <v>53</v>
      </c>
    </row>
    <row r="11" spans="1:9" s="123" customFormat="1" ht="13.5" customHeight="1" x14ac:dyDescent="0.35">
      <c r="A11" s="217" t="s">
        <v>62</v>
      </c>
      <c r="B11" s="217" t="s">
        <v>9</v>
      </c>
      <c r="C11" s="217" t="s">
        <v>64</v>
      </c>
      <c r="D11" s="163" t="s">
        <v>65</v>
      </c>
      <c r="E11" s="163">
        <v>4</v>
      </c>
      <c r="F11" s="164" t="s">
        <v>18</v>
      </c>
      <c r="G11" s="138"/>
      <c r="H11" s="137"/>
      <c r="I11" s="137"/>
    </row>
    <row r="12" spans="1:9" s="123" customFormat="1" ht="13.5" customHeight="1" x14ac:dyDescent="0.35">
      <c r="A12" s="218"/>
      <c r="B12" s="218"/>
      <c r="C12" s="218"/>
      <c r="D12" s="163" t="s">
        <v>52</v>
      </c>
      <c r="E12" s="163">
        <v>2</v>
      </c>
      <c r="F12" s="164" t="s">
        <v>18</v>
      </c>
      <c r="G12" s="138"/>
      <c r="H12" s="137"/>
      <c r="I12" s="137"/>
    </row>
    <row r="13" spans="1:9" s="123" customFormat="1" ht="13.5" customHeight="1" x14ac:dyDescent="0.35">
      <c r="A13" s="219"/>
      <c r="B13" s="219"/>
      <c r="C13" s="219"/>
      <c r="D13" s="163" t="s">
        <v>66</v>
      </c>
      <c r="E13" s="163">
        <v>12</v>
      </c>
      <c r="F13" s="164" t="s">
        <v>18</v>
      </c>
      <c r="G13" s="138"/>
      <c r="H13" s="137"/>
      <c r="I13" s="137"/>
    </row>
    <row r="14" spans="1:9" s="123" customFormat="1" ht="13.5" customHeight="1" x14ac:dyDescent="0.35">
      <c r="A14" s="137" t="s">
        <v>62</v>
      </c>
      <c r="B14" s="137" t="s">
        <v>9</v>
      </c>
      <c r="C14" s="138" t="s">
        <v>67</v>
      </c>
      <c r="D14" s="137" t="s">
        <v>52</v>
      </c>
      <c r="E14" s="138">
        <v>171</v>
      </c>
      <c r="F14" s="138" t="s">
        <v>18</v>
      </c>
      <c r="G14" s="138" t="s">
        <v>18</v>
      </c>
      <c r="H14" s="216" t="s">
        <v>68</v>
      </c>
      <c r="I14" s="137" t="s">
        <v>69</v>
      </c>
    </row>
    <row r="15" spans="1:9" s="123" customFormat="1" ht="13.5" customHeight="1" x14ac:dyDescent="0.35">
      <c r="A15" s="137" t="s">
        <v>62</v>
      </c>
      <c r="B15" s="137" t="s">
        <v>70</v>
      </c>
      <c r="C15" s="138" t="s">
        <v>71</v>
      </c>
      <c r="D15" s="137" t="s">
        <v>72</v>
      </c>
      <c r="E15" s="138">
        <v>16</v>
      </c>
      <c r="F15" s="138" t="s">
        <v>18</v>
      </c>
      <c r="G15" s="138" t="s">
        <v>18</v>
      </c>
      <c r="H15" s="216"/>
      <c r="I15" s="137" t="s">
        <v>69</v>
      </c>
    </row>
    <row r="16" spans="1:9" s="123" customFormat="1" ht="13.5" customHeight="1" x14ac:dyDescent="0.35">
      <c r="A16" s="137" t="s">
        <v>62</v>
      </c>
      <c r="B16" s="137" t="s">
        <v>73</v>
      </c>
      <c r="C16" s="138" t="s">
        <v>74</v>
      </c>
      <c r="D16" s="137" t="s">
        <v>73</v>
      </c>
      <c r="E16" s="138">
        <v>40</v>
      </c>
      <c r="F16" s="138" t="s">
        <v>18</v>
      </c>
      <c r="G16" s="138" t="s">
        <v>18</v>
      </c>
      <c r="H16" s="216"/>
      <c r="I16" s="137" t="s">
        <v>69</v>
      </c>
    </row>
    <row r="17" spans="1:9" s="123" customFormat="1" ht="13.5" customHeight="1" x14ac:dyDescent="0.35">
      <c r="A17" s="137" t="s">
        <v>62</v>
      </c>
      <c r="B17" s="137" t="s">
        <v>73</v>
      </c>
      <c r="C17" s="138" t="s">
        <v>75</v>
      </c>
      <c r="D17" s="137" t="s">
        <v>72</v>
      </c>
      <c r="E17" s="138">
        <v>24</v>
      </c>
      <c r="F17" s="138" t="s">
        <v>18</v>
      </c>
      <c r="G17" s="138" t="s">
        <v>18</v>
      </c>
      <c r="H17" s="216"/>
      <c r="I17" s="137" t="s">
        <v>69</v>
      </c>
    </row>
    <row r="18" spans="1:9" x14ac:dyDescent="0.35">
      <c r="C18" s="140" t="s">
        <v>76</v>
      </c>
      <c r="D18" s="141"/>
      <c r="E18" s="140">
        <f>SUM(E2:E17)</f>
        <v>392</v>
      </c>
    </row>
    <row r="19" spans="1:9" x14ac:dyDescent="0.35">
      <c r="C19" s="142" t="s">
        <v>77</v>
      </c>
      <c r="D19" s="143"/>
      <c r="E19" s="179">
        <f>(E18/9)</f>
        <v>43.555555555555557</v>
      </c>
    </row>
    <row r="20" spans="1:9" x14ac:dyDescent="0.35">
      <c r="C20" s="142" t="s">
        <v>78</v>
      </c>
      <c r="D20" s="143"/>
      <c r="E20" s="179">
        <f>E19/5</f>
        <v>8.7111111111111121</v>
      </c>
    </row>
  </sheetData>
  <autoFilter ref="B1:I1" xr:uid="{8174DDD0-EC8F-4CCE-936A-294C9B1AE800}"/>
  <mergeCells count="4">
    <mergeCell ref="H14:H17"/>
    <mergeCell ref="A11:A13"/>
    <mergeCell ref="B11:B13"/>
    <mergeCell ref="C11:C13"/>
  </mergeCells>
  <dataValidations count="1">
    <dataValidation type="list" allowBlank="1" showInputMessage="1" showErrorMessage="1" sqref="F2:G9" xr:uid="{AE5E2033-C482-45AE-80C4-48ABE4C919F2}">
      <formula1>"Knowledge,Skill,Awareness"</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98FB-D479-4757-8CA5-F48FB7389C02}">
  <dimension ref="A1:H20"/>
  <sheetViews>
    <sheetView workbookViewId="0">
      <selection sqref="A1:G6"/>
    </sheetView>
  </sheetViews>
  <sheetFormatPr defaultColWidth="9.1796875" defaultRowHeight="14.5" x14ac:dyDescent="0.35"/>
  <cols>
    <col min="1" max="1" width="14.81640625" style="21" bestFit="1" customWidth="1"/>
    <col min="2" max="2" width="28.7265625" style="21" customWidth="1"/>
    <col min="3" max="3" width="9.1796875" style="21"/>
    <col min="4" max="4" width="46.7265625" style="21" customWidth="1"/>
    <col min="5" max="6" width="9.1796875" style="21"/>
    <col min="7" max="7" width="8.7265625" style="21" bestFit="1" customWidth="1"/>
    <col min="8" max="16384" width="9.1796875" style="21"/>
  </cols>
  <sheetData>
    <row r="1" spans="1:8" ht="18.5" x14ac:dyDescent="0.35">
      <c r="A1" s="221" t="s">
        <v>79</v>
      </c>
      <c r="B1" s="222"/>
      <c r="C1" s="222"/>
      <c r="D1" s="222"/>
      <c r="E1" s="222"/>
      <c r="F1" s="222"/>
      <c r="G1" s="222"/>
      <c r="H1" s="190">
        <v>60</v>
      </c>
    </row>
    <row r="2" spans="1:8" x14ac:dyDescent="0.35">
      <c r="A2" s="15" t="s">
        <v>80</v>
      </c>
      <c r="B2" s="16"/>
      <c r="C2" s="17" t="s">
        <v>81</v>
      </c>
      <c r="D2" s="16"/>
      <c r="E2" s="191"/>
      <c r="F2" s="191"/>
      <c r="G2" s="191"/>
      <c r="H2" s="190">
        <f>60*8</f>
        <v>480</v>
      </c>
    </row>
    <row r="3" spans="1:8" x14ac:dyDescent="0.35">
      <c r="A3" s="18" t="s">
        <v>82</v>
      </c>
      <c r="B3" s="16"/>
      <c r="C3" s="17"/>
      <c r="D3" s="19"/>
      <c r="E3" s="191"/>
      <c r="F3" s="191"/>
      <c r="G3" s="191"/>
      <c r="H3" s="190">
        <v>5</v>
      </c>
    </row>
    <row r="4" spans="1:8" ht="16" thickBot="1" x14ac:dyDescent="0.4">
      <c r="A4" s="223"/>
      <c r="B4" s="224"/>
      <c r="C4" s="224"/>
      <c r="D4" s="224"/>
      <c r="E4" s="191"/>
      <c r="F4" s="191"/>
      <c r="G4" s="191"/>
      <c r="H4" s="190"/>
    </row>
    <row r="5" spans="1:8" ht="15.5" x14ac:dyDescent="0.35">
      <c r="A5" s="225" t="s">
        <v>83</v>
      </c>
      <c r="B5" s="227" t="s">
        <v>84</v>
      </c>
      <c r="C5" s="227"/>
      <c r="D5" s="227"/>
      <c r="E5" s="228"/>
      <c r="F5" s="228"/>
      <c r="G5" s="228"/>
      <c r="H5" s="190"/>
    </row>
    <row r="6" spans="1:8" ht="52.5" thickBot="1" x14ac:dyDescent="0.4">
      <c r="A6" s="226"/>
      <c r="B6" s="61" t="s">
        <v>85</v>
      </c>
      <c r="C6" s="61" t="s">
        <v>86</v>
      </c>
      <c r="D6" s="61" t="s">
        <v>87</v>
      </c>
      <c r="E6" s="61" t="s">
        <v>88</v>
      </c>
      <c r="F6" s="61" t="s">
        <v>89</v>
      </c>
      <c r="G6" s="62" t="s">
        <v>90</v>
      </c>
      <c r="H6" s="190"/>
    </row>
    <row r="7" spans="1:8" x14ac:dyDescent="0.35">
      <c r="A7" s="63">
        <v>1</v>
      </c>
      <c r="B7" s="64" t="s">
        <v>91</v>
      </c>
      <c r="C7" s="65"/>
      <c r="D7" s="64"/>
      <c r="E7" s="65"/>
      <c r="F7" s="64"/>
      <c r="G7" s="66"/>
      <c r="H7" s="190"/>
    </row>
    <row r="8" spans="1:8" x14ac:dyDescent="0.35">
      <c r="A8" s="67"/>
      <c r="B8" s="68"/>
      <c r="C8" s="89">
        <v>1</v>
      </c>
      <c r="D8" s="86" t="s">
        <v>92</v>
      </c>
      <c r="E8" s="70">
        <v>90</v>
      </c>
      <c r="F8" s="70"/>
      <c r="G8" s="70">
        <f>SUM(E8:F8)</f>
        <v>90</v>
      </c>
      <c r="H8" s="190"/>
    </row>
    <row r="9" spans="1:8" x14ac:dyDescent="0.35">
      <c r="A9" s="67"/>
      <c r="B9" s="68"/>
      <c r="C9" s="89">
        <v>2</v>
      </c>
      <c r="D9" s="86" t="s">
        <v>93</v>
      </c>
      <c r="E9" s="70"/>
      <c r="F9" s="70">
        <v>60</v>
      </c>
      <c r="G9" s="70">
        <f>SUM(E9:F9)</f>
        <v>60</v>
      </c>
      <c r="H9" s="190"/>
    </row>
    <row r="10" spans="1:8" x14ac:dyDescent="0.35">
      <c r="A10" s="67"/>
      <c r="B10" s="68"/>
      <c r="C10" s="90"/>
      <c r="D10" s="74" t="s">
        <v>94</v>
      </c>
      <c r="E10" s="72">
        <f>SUM(E8:E9)</f>
        <v>90</v>
      </c>
      <c r="F10" s="72">
        <f>SUM(F8:F9)</f>
        <v>60</v>
      </c>
      <c r="G10" s="72">
        <f>SUM(G8:G9)</f>
        <v>150</v>
      </c>
      <c r="H10" s="190"/>
    </row>
    <row r="11" spans="1:8" x14ac:dyDescent="0.35">
      <c r="A11" s="63">
        <v>2</v>
      </c>
      <c r="B11" s="64" t="s">
        <v>95</v>
      </c>
      <c r="C11" s="91"/>
      <c r="D11" s="88"/>
      <c r="E11" s="65"/>
      <c r="F11" s="64"/>
      <c r="G11" s="66"/>
      <c r="H11" s="190"/>
    </row>
    <row r="12" spans="1:8" x14ac:dyDescent="0.35">
      <c r="A12" s="67"/>
      <c r="B12" s="68"/>
      <c r="C12" s="89">
        <v>1</v>
      </c>
      <c r="D12" s="86" t="s">
        <v>96</v>
      </c>
      <c r="E12" s="70">
        <v>90</v>
      </c>
      <c r="F12" s="70"/>
      <c r="G12" s="70">
        <f>SUM(E12:F12)</f>
        <v>90</v>
      </c>
      <c r="H12" s="190"/>
    </row>
    <row r="13" spans="1:8" x14ac:dyDescent="0.35">
      <c r="A13" s="67"/>
      <c r="B13" s="68"/>
      <c r="C13" s="90"/>
      <c r="D13" s="74" t="s">
        <v>94</v>
      </c>
      <c r="E13" s="72">
        <f>SUM(E12)</f>
        <v>90</v>
      </c>
      <c r="F13" s="72">
        <f>SUM(F12)</f>
        <v>0</v>
      </c>
      <c r="G13" s="72">
        <f>SUM(G12)</f>
        <v>90</v>
      </c>
      <c r="H13" s="190"/>
    </row>
    <row r="14" spans="1:8" x14ac:dyDescent="0.35">
      <c r="A14" s="63">
        <v>3</v>
      </c>
      <c r="B14" s="64" t="s">
        <v>97</v>
      </c>
      <c r="C14" s="91"/>
      <c r="D14" s="88"/>
      <c r="E14" s="65"/>
      <c r="F14" s="64"/>
      <c r="G14" s="66"/>
      <c r="H14" s="190"/>
    </row>
    <row r="15" spans="1:8" x14ac:dyDescent="0.35">
      <c r="A15" s="67"/>
      <c r="B15" s="68"/>
      <c r="C15" s="89">
        <v>1</v>
      </c>
      <c r="D15" s="86" t="s">
        <v>98</v>
      </c>
      <c r="E15" s="70">
        <v>90</v>
      </c>
      <c r="F15" s="70"/>
      <c r="G15" s="73">
        <f>SUM(E15:F15)</f>
        <v>90</v>
      </c>
      <c r="H15" s="190"/>
    </row>
    <row r="16" spans="1:8" x14ac:dyDescent="0.35">
      <c r="A16" s="67"/>
      <c r="B16" s="68"/>
      <c r="C16" s="90"/>
      <c r="D16" s="74" t="s">
        <v>94</v>
      </c>
      <c r="E16" s="72">
        <f>SUM(E15)</f>
        <v>90</v>
      </c>
      <c r="F16" s="72">
        <f>SUM(F15)</f>
        <v>0</v>
      </c>
      <c r="G16" s="72">
        <f>SUM(G15)</f>
        <v>90</v>
      </c>
      <c r="H16" s="190"/>
    </row>
    <row r="17" spans="1:7" x14ac:dyDescent="0.35">
      <c r="A17" s="75"/>
      <c r="B17" s="76"/>
      <c r="C17" s="77"/>
      <c r="D17" s="76"/>
      <c r="E17" s="76"/>
      <c r="F17" s="76"/>
      <c r="G17" s="78"/>
    </row>
    <row r="18" spans="1:7" x14ac:dyDescent="0.35">
      <c r="A18" s="190"/>
      <c r="B18" s="190"/>
      <c r="C18" s="220" t="s">
        <v>99</v>
      </c>
      <c r="D18" s="220"/>
      <c r="E18" s="42">
        <f>SUM(E16,E13,E10)</f>
        <v>270</v>
      </c>
      <c r="F18" s="42">
        <f>SUM(F16,F13,F10)</f>
        <v>60</v>
      </c>
      <c r="G18" s="42">
        <f>SUM(G16,G13,G10)</f>
        <v>330</v>
      </c>
    </row>
    <row r="19" spans="1:7" x14ac:dyDescent="0.35">
      <c r="A19" s="190"/>
      <c r="B19" s="190"/>
      <c r="C19" s="220" t="s">
        <v>32</v>
      </c>
      <c r="D19" s="220"/>
      <c r="E19" s="43">
        <f>E18/$H$2</f>
        <v>0.5625</v>
      </c>
      <c r="F19" s="43">
        <f>F18/$H$2</f>
        <v>0.125</v>
      </c>
      <c r="G19" s="43">
        <f>G18/$H$2</f>
        <v>0.6875</v>
      </c>
    </row>
    <row r="20" spans="1:7" x14ac:dyDescent="0.35">
      <c r="A20" s="190"/>
      <c r="B20" s="190"/>
      <c r="C20" s="220" t="s">
        <v>100</v>
      </c>
      <c r="D20" s="220"/>
      <c r="E20" s="43">
        <f>E19/$H$3</f>
        <v>0.1125</v>
      </c>
      <c r="F20" s="43">
        <f>F19/$H$3</f>
        <v>2.5000000000000001E-2</v>
      </c>
      <c r="G20" s="43">
        <f>G19/$H$3</f>
        <v>0.13750000000000001</v>
      </c>
    </row>
  </sheetData>
  <mergeCells count="7">
    <mergeCell ref="C18:D18"/>
    <mergeCell ref="C19:D19"/>
    <mergeCell ref="C20:D20"/>
    <mergeCell ref="A1:G1"/>
    <mergeCell ref="A4:D4"/>
    <mergeCell ref="A5:A6"/>
    <mergeCell ref="B5:G5"/>
  </mergeCells>
  <phoneticPr fontId="49" type="noConversion"/>
  <dataValidations disablePrompts="1" count="3">
    <dataValidation type="whole" operator="greaterThan" allowBlank="1" showInputMessage="1" showErrorMessage="1" errorTitle="Estimated Duration " error="Please enter number &gt; 0. Enter value in Mts only " promptTitle="Enter the Estimated Duration" prompt="Please enter the Estimated Duration in Mts" sqref="G17 G11 G14 G7" xr:uid="{DF475DDA-72B1-4AE2-948A-098A66B67DB8}">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8:F9 F15 F12" xr:uid="{8D6619EF-6DA0-48E4-8C32-AE6F3959E195}">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G12 G8:G9 E12 E15 E8:E9 G15" xr:uid="{0B94FFC6-CF5F-4558-B24A-D578EDCD313D}">
      <formula1>0</formula1>
    </dataValidation>
  </dataValidation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0BCF-D387-4AF8-8FA6-F8A16972048E}">
  <dimension ref="A1:D2"/>
  <sheetViews>
    <sheetView workbookViewId="0">
      <selection activeCell="A2" sqref="A2"/>
    </sheetView>
  </sheetViews>
  <sheetFormatPr defaultRowHeight="14.5" x14ac:dyDescent="0.35"/>
  <cols>
    <col min="1" max="1" width="33.1796875" customWidth="1"/>
    <col min="2" max="2" width="70.81640625" customWidth="1"/>
    <col min="3" max="3" width="47.54296875" customWidth="1"/>
  </cols>
  <sheetData>
    <row r="1" spans="1:4" x14ac:dyDescent="0.35">
      <c r="A1" s="177" t="s">
        <v>101</v>
      </c>
      <c r="B1" s="177" t="s">
        <v>102</v>
      </c>
      <c r="C1" s="177" t="s">
        <v>103</v>
      </c>
      <c r="D1" s="177" t="s">
        <v>104</v>
      </c>
    </row>
    <row r="2" spans="1:4" ht="29" x14ac:dyDescent="0.35">
      <c r="A2" s="145" t="s">
        <v>105</v>
      </c>
      <c r="B2" s="145" t="s">
        <v>106</v>
      </c>
      <c r="C2" s="178" t="s">
        <v>107</v>
      </c>
      <c r="D2" s="10">
        <v>16</v>
      </c>
    </row>
  </sheetData>
  <hyperlinks>
    <hyperlink ref="C2" r:id="rId1" xr:uid="{8F6C8826-9E32-445B-8F67-3765081B8C1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6B60-D600-40C4-A2EA-17BFDFFF89A6}">
  <dimension ref="A1:IV83"/>
  <sheetViews>
    <sheetView workbookViewId="0">
      <selection sqref="A1:G1"/>
    </sheetView>
  </sheetViews>
  <sheetFormatPr defaultColWidth="9.1796875" defaultRowHeight="13" x14ac:dyDescent="0.35"/>
  <cols>
    <col min="1" max="1" width="5.81640625" style="22" customWidth="1"/>
    <col min="2" max="2" width="23.54296875" style="41" bestFit="1" customWidth="1"/>
    <col min="3" max="3" width="11.26953125" style="23" customWidth="1"/>
    <col min="4" max="4" width="50.1796875" style="41" customWidth="1"/>
    <col min="5" max="6" width="12.54296875" style="41" customWidth="1"/>
    <col min="7" max="7" width="14.1796875" style="23" customWidth="1"/>
    <col min="8" max="16384" width="9.1796875" style="22"/>
  </cols>
  <sheetData>
    <row r="1" spans="1:256" ht="19" thickBot="1" x14ac:dyDescent="0.4">
      <c r="A1" s="229" t="s">
        <v>108</v>
      </c>
      <c r="B1" s="230"/>
      <c r="C1" s="230"/>
      <c r="D1" s="230"/>
      <c r="E1" s="230"/>
      <c r="F1" s="230"/>
      <c r="G1" s="230"/>
      <c r="H1" s="190">
        <v>60</v>
      </c>
    </row>
    <row r="2" spans="1:256" ht="14.5" x14ac:dyDescent="0.35">
      <c r="A2" s="15" t="s">
        <v>109</v>
      </c>
      <c r="B2" s="16" t="s">
        <v>110</v>
      </c>
      <c r="C2" s="17"/>
      <c r="D2" s="44"/>
      <c r="E2" s="16"/>
      <c r="F2" s="16"/>
      <c r="H2" s="190">
        <f>60*8</f>
        <v>480</v>
      </c>
    </row>
    <row r="3" spans="1:256" ht="14.5" x14ac:dyDescent="0.35">
      <c r="A3" s="18" t="s">
        <v>82</v>
      </c>
      <c r="B3" s="16"/>
      <c r="C3" s="17"/>
      <c r="D3" s="45" t="s">
        <v>111</v>
      </c>
      <c r="E3" s="19"/>
      <c r="F3" s="19"/>
      <c r="H3" s="190">
        <v>5</v>
      </c>
    </row>
    <row r="4" spans="1:256" ht="16" thickBot="1" x14ac:dyDescent="0.4">
      <c r="A4" s="231"/>
      <c r="B4" s="232"/>
      <c r="C4" s="232"/>
      <c r="D4" s="232"/>
      <c r="E4" s="232"/>
      <c r="F4" s="232"/>
      <c r="G4" s="232"/>
    </row>
    <row r="5" spans="1:256" ht="15.5" x14ac:dyDescent="0.35">
      <c r="A5" s="233" t="s">
        <v>83</v>
      </c>
      <c r="B5" s="235" t="s">
        <v>84</v>
      </c>
      <c r="C5" s="235"/>
      <c r="D5" s="235"/>
      <c r="E5" s="236"/>
      <c r="F5" s="236"/>
      <c r="G5" s="236"/>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row>
    <row r="6" spans="1:256" ht="52.5" thickBot="1" x14ac:dyDescent="0.4">
      <c r="A6" s="234"/>
      <c r="B6" s="26" t="s">
        <v>85</v>
      </c>
      <c r="C6" s="26" t="s">
        <v>86</v>
      </c>
      <c r="D6" s="26" t="s">
        <v>87</v>
      </c>
      <c r="E6" s="26" t="s">
        <v>88</v>
      </c>
      <c r="F6" s="26" t="s">
        <v>89</v>
      </c>
      <c r="G6" s="27" t="s">
        <v>90</v>
      </c>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row>
    <row r="7" spans="1:256" x14ac:dyDescent="0.35">
      <c r="A7" s="29">
        <v>1</v>
      </c>
      <c r="B7" s="30" t="s">
        <v>112</v>
      </c>
      <c r="C7" s="31"/>
      <c r="D7" s="46"/>
      <c r="E7" s="31"/>
      <c r="F7" s="30"/>
      <c r="G7" s="32"/>
    </row>
    <row r="8" spans="1:256" x14ac:dyDescent="0.35">
      <c r="A8" s="33"/>
      <c r="B8" s="34"/>
      <c r="C8" s="35">
        <v>1</v>
      </c>
      <c r="D8" s="47" t="s">
        <v>113</v>
      </c>
      <c r="E8" s="36">
        <v>5</v>
      </c>
      <c r="F8" s="36"/>
      <c r="G8" s="36">
        <f>SUM(E8:F8)</f>
        <v>5</v>
      </c>
    </row>
    <row r="9" spans="1:256" x14ac:dyDescent="0.35">
      <c r="A9" s="33"/>
      <c r="B9" s="34"/>
      <c r="C9" s="35">
        <v>2</v>
      </c>
      <c r="D9" s="47" t="s">
        <v>114</v>
      </c>
      <c r="E9" s="36">
        <v>5</v>
      </c>
      <c r="F9" s="36"/>
      <c r="G9" s="36">
        <f t="shared" ref="G9:G22" si="0">SUM(E9:F9)</f>
        <v>5</v>
      </c>
    </row>
    <row r="10" spans="1:256" x14ac:dyDescent="0.35">
      <c r="A10" s="33"/>
      <c r="B10" s="34"/>
      <c r="C10" s="35">
        <v>3</v>
      </c>
      <c r="D10" s="47" t="s">
        <v>115</v>
      </c>
      <c r="E10" s="36">
        <v>5</v>
      </c>
      <c r="F10" s="36"/>
      <c r="G10" s="36">
        <f t="shared" si="0"/>
        <v>5</v>
      </c>
    </row>
    <row r="11" spans="1:256" x14ac:dyDescent="0.35">
      <c r="A11" s="33"/>
      <c r="B11" s="34"/>
      <c r="C11" s="35">
        <v>4</v>
      </c>
      <c r="D11" s="47" t="s">
        <v>116</v>
      </c>
      <c r="E11" s="36">
        <v>5</v>
      </c>
      <c r="F11" s="36"/>
      <c r="G11" s="36">
        <f t="shared" si="0"/>
        <v>5</v>
      </c>
    </row>
    <row r="12" spans="1:256" x14ac:dyDescent="0.35">
      <c r="A12" s="33"/>
      <c r="B12" s="34"/>
      <c r="C12" s="35">
        <v>5</v>
      </c>
      <c r="D12" s="47" t="s">
        <v>117</v>
      </c>
      <c r="E12" s="36">
        <v>30</v>
      </c>
      <c r="F12" s="36"/>
      <c r="G12" s="36">
        <f t="shared" si="0"/>
        <v>30</v>
      </c>
    </row>
    <row r="13" spans="1:256" x14ac:dyDescent="0.35">
      <c r="A13" s="33"/>
      <c r="B13" s="34"/>
      <c r="C13" s="35">
        <v>6</v>
      </c>
      <c r="D13" s="47" t="s">
        <v>118</v>
      </c>
      <c r="E13" s="36">
        <v>30</v>
      </c>
      <c r="F13" s="36"/>
      <c r="G13" s="36">
        <f t="shared" si="0"/>
        <v>30</v>
      </c>
    </row>
    <row r="14" spans="1:256" x14ac:dyDescent="0.35">
      <c r="A14" s="33"/>
      <c r="B14" s="34"/>
      <c r="C14" s="35">
        <v>7</v>
      </c>
      <c r="D14" s="47" t="s">
        <v>119</v>
      </c>
      <c r="E14" s="36">
        <v>10</v>
      </c>
      <c r="F14" s="36"/>
      <c r="G14" s="36">
        <f t="shared" si="0"/>
        <v>10</v>
      </c>
    </row>
    <row r="15" spans="1:256" x14ac:dyDescent="0.35">
      <c r="A15" s="33"/>
      <c r="B15" s="34"/>
      <c r="C15" s="35">
        <v>8</v>
      </c>
      <c r="D15" s="47" t="s">
        <v>120</v>
      </c>
      <c r="E15" s="36">
        <v>5</v>
      </c>
      <c r="F15" s="36"/>
      <c r="G15" s="36">
        <f t="shared" si="0"/>
        <v>5</v>
      </c>
    </row>
    <row r="16" spans="1:256" x14ac:dyDescent="0.35">
      <c r="A16" s="33"/>
      <c r="B16" s="34"/>
      <c r="C16" s="35">
        <v>9</v>
      </c>
      <c r="D16" s="47" t="s">
        <v>121</v>
      </c>
      <c r="E16" s="36">
        <v>5</v>
      </c>
      <c r="F16" s="36"/>
      <c r="G16" s="36">
        <f t="shared" si="0"/>
        <v>5</v>
      </c>
    </row>
    <row r="17" spans="1:7" x14ac:dyDescent="0.35">
      <c r="A17" s="33"/>
      <c r="B17" s="34"/>
      <c r="C17" s="35">
        <v>10</v>
      </c>
      <c r="D17" s="47" t="s">
        <v>122</v>
      </c>
      <c r="E17" s="36">
        <v>5</v>
      </c>
      <c r="F17" s="36"/>
      <c r="G17" s="36">
        <f t="shared" si="0"/>
        <v>5</v>
      </c>
    </row>
    <row r="18" spans="1:7" x14ac:dyDescent="0.35">
      <c r="A18" s="33"/>
      <c r="B18" s="34"/>
      <c r="C18" s="35">
        <v>11</v>
      </c>
      <c r="D18" s="47" t="s">
        <v>123</v>
      </c>
      <c r="E18" s="36">
        <v>20</v>
      </c>
      <c r="F18" s="36"/>
      <c r="G18" s="36">
        <f t="shared" si="0"/>
        <v>20</v>
      </c>
    </row>
    <row r="19" spans="1:7" x14ac:dyDescent="0.35">
      <c r="A19" s="33"/>
      <c r="B19" s="34"/>
      <c r="C19" s="35">
        <v>12</v>
      </c>
      <c r="D19" s="47" t="s">
        <v>124</v>
      </c>
      <c r="E19" s="36">
        <v>10</v>
      </c>
      <c r="F19" s="36"/>
      <c r="G19" s="36">
        <f t="shared" si="0"/>
        <v>10</v>
      </c>
    </row>
    <row r="20" spans="1:7" x14ac:dyDescent="0.35">
      <c r="A20" s="33"/>
      <c r="B20" s="34"/>
      <c r="C20" s="35">
        <v>13</v>
      </c>
      <c r="D20" s="47" t="s">
        <v>125</v>
      </c>
      <c r="E20" s="36">
        <v>5</v>
      </c>
      <c r="F20" s="36"/>
      <c r="G20" s="36">
        <f t="shared" si="0"/>
        <v>5</v>
      </c>
    </row>
    <row r="21" spans="1:7" x14ac:dyDescent="0.35">
      <c r="A21" s="33"/>
      <c r="B21" s="34"/>
      <c r="C21" s="35">
        <v>14</v>
      </c>
      <c r="D21" s="47" t="s">
        <v>126</v>
      </c>
      <c r="E21" s="36">
        <v>10</v>
      </c>
      <c r="F21" s="36"/>
      <c r="G21" s="36">
        <f t="shared" si="0"/>
        <v>10</v>
      </c>
    </row>
    <row r="22" spans="1:7" x14ac:dyDescent="0.35">
      <c r="A22" s="33"/>
      <c r="B22" s="34"/>
      <c r="C22" s="35">
        <v>15</v>
      </c>
      <c r="D22" s="47" t="s">
        <v>127</v>
      </c>
      <c r="E22" s="36">
        <v>30</v>
      </c>
      <c r="F22" s="36"/>
      <c r="G22" s="36">
        <f t="shared" si="0"/>
        <v>30</v>
      </c>
    </row>
    <row r="23" spans="1:7" x14ac:dyDescent="0.35">
      <c r="A23" s="33"/>
      <c r="B23" s="34"/>
      <c r="C23" s="37"/>
      <c r="D23" s="38" t="s">
        <v>94</v>
      </c>
      <c r="E23" s="39">
        <f>SUM(E8:E22)</f>
        <v>180</v>
      </c>
      <c r="F23" s="39">
        <f>SUM(F8:F22)</f>
        <v>0</v>
      </c>
      <c r="G23" s="39">
        <f>SUM(G8:G22)</f>
        <v>180</v>
      </c>
    </row>
    <row r="24" spans="1:7" x14ac:dyDescent="0.35">
      <c r="A24" s="29">
        <v>2</v>
      </c>
      <c r="B24" s="30" t="s">
        <v>128</v>
      </c>
      <c r="C24" s="31"/>
      <c r="D24" s="46"/>
      <c r="E24" s="31"/>
      <c r="F24" s="30"/>
      <c r="G24" s="32"/>
    </row>
    <row r="25" spans="1:7" x14ac:dyDescent="0.35">
      <c r="A25" s="33"/>
      <c r="B25" s="34"/>
      <c r="C25" s="35">
        <v>1</v>
      </c>
      <c r="D25" s="47" t="s">
        <v>129</v>
      </c>
      <c r="E25" s="36">
        <v>10</v>
      </c>
      <c r="F25" s="36"/>
      <c r="G25" s="36">
        <f t="shared" ref="G25:G36" si="1">SUM(E25:F25)</f>
        <v>10</v>
      </c>
    </row>
    <row r="26" spans="1:7" x14ac:dyDescent="0.35">
      <c r="A26" s="33"/>
      <c r="B26" s="34"/>
      <c r="C26" s="35">
        <v>2</v>
      </c>
      <c r="D26" s="47" t="s">
        <v>130</v>
      </c>
      <c r="E26" s="36">
        <v>15</v>
      </c>
      <c r="F26" s="36"/>
      <c r="G26" s="36">
        <f t="shared" si="1"/>
        <v>15</v>
      </c>
    </row>
    <row r="27" spans="1:7" x14ac:dyDescent="0.35">
      <c r="A27" s="33"/>
      <c r="B27" s="34"/>
      <c r="C27" s="35">
        <v>3</v>
      </c>
      <c r="D27" s="47" t="s">
        <v>131</v>
      </c>
      <c r="E27" s="36">
        <v>10</v>
      </c>
      <c r="F27" s="36"/>
      <c r="G27" s="36">
        <f t="shared" si="1"/>
        <v>10</v>
      </c>
    </row>
    <row r="28" spans="1:7" x14ac:dyDescent="0.35">
      <c r="A28" s="33"/>
      <c r="B28" s="34"/>
      <c r="C28" s="35">
        <v>4</v>
      </c>
      <c r="D28" s="47" t="s">
        <v>132</v>
      </c>
      <c r="E28" s="36">
        <v>10</v>
      </c>
      <c r="F28" s="36"/>
      <c r="G28" s="36">
        <f t="shared" si="1"/>
        <v>10</v>
      </c>
    </row>
    <row r="29" spans="1:7" x14ac:dyDescent="0.35">
      <c r="A29" s="33"/>
      <c r="B29" s="34"/>
      <c r="C29" s="35">
        <v>5</v>
      </c>
      <c r="D29" s="47" t="s">
        <v>133</v>
      </c>
      <c r="E29" s="36">
        <v>10</v>
      </c>
      <c r="F29" s="36"/>
      <c r="G29" s="36">
        <f t="shared" si="1"/>
        <v>10</v>
      </c>
    </row>
    <row r="30" spans="1:7" x14ac:dyDescent="0.35">
      <c r="A30" s="33"/>
      <c r="B30" s="34"/>
      <c r="C30" s="35">
        <v>6</v>
      </c>
      <c r="D30" s="47" t="s">
        <v>134</v>
      </c>
      <c r="E30" s="36">
        <v>10</v>
      </c>
      <c r="F30" s="36"/>
      <c r="G30" s="36">
        <f t="shared" si="1"/>
        <v>10</v>
      </c>
    </row>
    <row r="31" spans="1:7" x14ac:dyDescent="0.35">
      <c r="A31" s="33"/>
      <c r="B31" s="34"/>
      <c r="C31" s="35">
        <v>7</v>
      </c>
      <c r="D31" s="47" t="s">
        <v>135</v>
      </c>
      <c r="E31" s="36">
        <v>10</v>
      </c>
      <c r="F31" s="36"/>
      <c r="G31" s="36">
        <f t="shared" si="1"/>
        <v>10</v>
      </c>
    </row>
    <row r="32" spans="1:7" x14ac:dyDescent="0.35">
      <c r="A32" s="33"/>
      <c r="B32" s="34"/>
      <c r="C32" s="35">
        <v>8</v>
      </c>
      <c r="D32" s="47" t="s">
        <v>136</v>
      </c>
      <c r="E32" s="36">
        <v>20</v>
      </c>
      <c r="F32" s="36"/>
      <c r="G32" s="36">
        <f t="shared" si="1"/>
        <v>20</v>
      </c>
    </row>
    <row r="33" spans="1:7" x14ac:dyDescent="0.35">
      <c r="A33" s="33"/>
      <c r="B33" s="34"/>
      <c r="C33" s="35">
        <v>9</v>
      </c>
      <c r="D33" s="47" t="s">
        <v>137</v>
      </c>
      <c r="E33" s="36">
        <v>30</v>
      </c>
      <c r="F33" s="36"/>
      <c r="G33" s="36">
        <f t="shared" si="1"/>
        <v>30</v>
      </c>
    </row>
    <row r="34" spans="1:7" x14ac:dyDescent="0.35">
      <c r="A34" s="33"/>
      <c r="B34" s="34"/>
      <c r="C34" s="35">
        <v>10</v>
      </c>
      <c r="D34" s="47" t="s">
        <v>138</v>
      </c>
      <c r="E34" s="36">
        <v>10</v>
      </c>
      <c r="F34" s="36"/>
      <c r="G34" s="36">
        <f t="shared" si="1"/>
        <v>10</v>
      </c>
    </row>
    <row r="35" spans="1:7" x14ac:dyDescent="0.35">
      <c r="A35" s="33"/>
      <c r="B35" s="34"/>
      <c r="C35" s="35">
        <v>11</v>
      </c>
      <c r="D35" s="47" t="s">
        <v>139</v>
      </c>
      <c r="E35" s="36">
        <v>20</v>
      </c>
      <c r="F35" s="36"/>
      <c r="G35" s="36">
        <f t="shared" si="1"/>
        <v>20</v>
      </c>
    </row>
    <row r="36" spans="1:7" x14ac:dyDescent="0.35">
      <c r="A36" s="33"/>
      <c r="B36" s="34"/>
      <c r="C36" s="35">
        <v>12</v>
      </c>
      <c r="D36" s="47" t="s">
        <v>140</v>
      </c>
      <c r="E36" s="36"/>
      <c r="F36" s="36">
        <v>45</v>
      </c>
      <c r="G36" s="36">
        <f t="shared" si="1"/>
        <v>45</v>
      </c>
    </row>
    <row r="37" spans="1:7" x14ac:dyDescent="0.35">
      <c r="A37" s="33"/>
      <c r="B37" s="34"/>
      <c r="C37" s="37"/>
      <c r="D37" s="38" t="s">
        <v>94</v>
      </c>
      <c r="E37" s="39">
        <f>SUM(E25:E36)</f>
        <v>155</v>
      </c>
      <c r="F37" s="39">
        <f>SUM(F25:F36)</f>
        <v>45</v>
      </c>
      <c r="G37" s="39">
        <f>SUM(G25:G36)</f>
        <v>200</v>
      </c>
    </row>
    <row r="38" spans="1:7" x14ac:dyDescent="0.35">
      <c r="A38" s="29">
        <v>3</v>
      </c>
      <c r="B38" s="30" t="s">
        <v>141</v>
      </c>
      <c r="C38" s="31"/>
      <c r="D38" s="46"/>
      <c r="E38" s="31"/>
      <c r="F38" s="30"/>
      <c r="G38" s="32"/>
    </row>
    <row r="39" spans="1:7" x14ac:dyDescent="0.35">
      <c r="A39" s="33"/>
      <c r="B39" s="34"/>
      <c r="C39" s="35">
        <v>1</v>
      </c>
      <c r="D39" s="47" t="s">
        <v>142</v>
      </c>
      <c r="E39" s="36">
        <v>5</v>
      </c>
      <c r="F39" s="36"/>
      <c r="G39" s="36">
        <f t="shared" ref="G39:G49" si="2">SUM(E39:F39)</f>
        <v>5</v>
      </c>
    </row>
    <row r="40" spans="1:7" x14ac:dyDescent="0.35">
      <c r="A40" s="33"/>
      <c r="B40" s="34"/>
      <c r="C40" s="35">
        <v>2</v>
      </c>
      <c r="D40" s="47" t="s">
        <v>143</v>
      </c>
      <c r="E40" s="36">
        <v>5</v>
      </c>
      <c r="F40" s="36"/>
      <c r="G40" s="36">
        <f t="shared" si="2"/>
        <v>5</v>
      </c>
    </row>
    <row r="41" spans="1:7" x14ac:dyDescent="0.35">
      <c r="A41" s="33"/>
      <c r="B41" s="34"/>
      <c r="C41" s="35">
        <v>3</v>
      </c>
      <c r="D41" s="47" t="s">
        <v>144</v>
      </c>
      <c r="E41" s="36">
        <v>5</v>
      </c>
      <c r="F41" s="36"/>
      <c r="G41" s="36">
        <f t="shared" si="2"/>
        <v>5</v>
      </c>
    </row>
    <row r="42" spans="1:7" x14ac:dyDescent="0.35">
      <c r="A42" s="33"/>
      <c r="B42" s="34"/>
      <c r="C42" s="35">
        <v>4</v>
      </c>
      <c r="D42" s="47" t="s">
        <v>145</v>
      </c>
      <c r="E42" s="36">
        <v>5</v>
      </c>
      <c r="F42" s="36"/>
      <c r="G42" s="36">
        <f t="shared" si="2"/>
        <v>5</v>
      </c>
    </row>
    <row r="43" spans="1:7" x14ac:dyDescent="0.35">
      <c r="A43" s="33"/>
      <c r="B43" s="34"/>
      <c r="C43" s="35">
        <v>5</v>
      </c>
      <c r="D43" s="47" t="s">
        <v>146</v>
      </c>
      <c r="E43" s="36">
        <v>5</v>
      </c>
      <c r="F43" s="36"/>
      <c r="G43" s="36">
        <f t="shared" si="2"/>
        <v>5</v>
      </c>
    </row>
    <row r="44" spans="1:7" x14ac:dyDescent="0.35">
      <c r="A44" s="33"/>
      <c r="B44" s="34"/>
      <c r="C44" s="35">
        <v>6</v>
      </c>
      <c r="D44" s="47" t="s">
        <v>147</v>
      </c>
      <c r="E44" s="36">
        <v>5</v>
      </c>
      <c r="F44" s="36"/>
      <c r="G44" s="36">
        <f t="shared" si="2"/>
        <v>5</v>
      </c>
    </row>
    <row r="45" spans="1:7" x14ac:dyDescent="0.35">
      <c r="A45" s="33"/>
      <c r="B45" s="34"/>
      <c r="C45" s="35">
        <v>7</v>
      </c>
      <c r="D45" s="47" t="s">
        <v>148</v>
      </c>
      <c r="E45" s="36">
        <v>10</v>
      </c>
      <c r="F45" s="36"/>
      <c r="G45" s="36">
        <f t="shared" si="2"/>
        <v>10</v>
      </c>
    </row>
    <row r="46" spans="1:7" x14ac:dyDescent="0.35">
      <c r="A46" s="33"/>
      <c r="B46" s="34"/>
      <c r="C46" s="35">
        <v>8</v>
      </c>
      <c r="D46" s="47" t="s">
        <v>149</v>
      </c>
      <c r="E46" s="36">
        <v>5</v>
      </c>
      <c r="F46" s="36"/>
      <c r="G46" s="36">
        <f t="shared" si="2"/>
        <v>5</v>
      </c>
    </row>
    <row r="47" spans="1:7" x14ac:dyDescent="0.35">
      <c r="A47" s="33"/>
      <c r="B47" s="34"/>
      <c r="C47" s="35">
        <v>9</v>
      </c>
      <c r="D47" s="47" t="s">
        <v>150</v>
      </c>
      <c r="E47" s="36">
        <v>15</v>
      </c>
      <c r="F47" s="36"/>
      <c r="G47" s="36">
        <f t="shared" si="2"/>
        <v>15</v>
      </c>
    </row>
    <row r="48" spans="1:7" x14ac:dyDescent="0.35">
      <c r="A48" s="33"/>
      <c r="B48" s="34"/>
      <c r="C48" s="35">
        <v>10</v>
      </c>
      <c r="D48" s="47" t="s">
        <v>151</v>
      </c>
      <c r="E48" s="36">
        <v>25</v>
      </c>
      <c r="F48" s="36"/>
      <c r="G48" s="36">
        <f t="shared" si="2"/>
        <v>25</v>
      </c>
    </row>
    <row r="49" spans="1:7" x14ac:dyDescent="0.35">
      <c r="A49" s="33"/>
      <c r="B49" s="34"/>
      <c r="C49" s="35">
        <v>11</v>
      </c>
      <c r="D49" s="47" t="s">
        <v>152</v>
      </c>
      <c r="E49" s="36"/>
      <c r="F49" s="36">
        <v>35</v>
      </c>
      <c r="G49" s="36">
        <f t="shared" si="2"/>
        <v>35</v>
      </c>
    </row>
    <row r="50" spans="1:7" x14ac:dyDescent="0.35">
      <c r="A50" s="33"/>
      <c r="B50" s="34"/>
      <c r="C50" s="37"/>
      <c r="D50" s="38" t="s">
        <v>94</v>
      </c>
      <c r="E50" s="39">
        <f>SUM(E39:E49)</f>
        <v>85</v>
      </c>
      <c r="F50" s="39">
        <f>SUM(F39:F49)</f>
        <v>35</v>
      </c>
      <c r="G50" s="39">
        <f>SUM(G39:G49)</f>
        <v>120</v>
      </c>
    </row>
    <row r="51" spans="1:7" x14ac:dyDescent="0.35">
      <c r="A51" s="29">
        <v>4</v>
      </c>
      <c r="B51" s="30" t="s">
        <v>153</v>
      </c>
      <c r="C51" s="31"/>
      <c r="D51" s="46"/>
      <c r="E51" s="31"/>
      <c r="F51" s="30"/>
      <c r="G51" s="32"/>
    </row>
    <row r="52" spans="1:7" x14ac:dyDescent="0.35">
      <c r="A52" s="33"/>
      <c r="B52" s="34"/>
      <c r="C52" s="35">
        <v>1</v>
      </c>
      <c r="D52" s="47" t="s">
        <v>154</v>
      </c>
      <c r="E52" s="36">
        <v>10</v>
      </c>
      <c r="F52" s="36"/>
      <c r="G52" s="36">
        <f t="shared" ref="G52:G59" si="3">SUM(E52:F52)</f>
        <v>10</v>
      </c>
    </row>
    <row r="53" spans="1:7" x14ac:dyDescent="0.35">
      <c r="A53" s="33"/>
      <c r="B53" s="34"/>
      <c r="C53" s="35">
        <v>2</v>
      </c>
      <c r="D53" s="47" t="s">
        <v>155</v>
      </c>
      <c r="E53" s="36">
        <v>5</v>
      </c>
      <c r="F53" s="36"/>
      <c r="G53" s="36">
        <f t="shared" si="3"/>
        <v>5</v>
      </c>
    </row>
    <row r="54" spans="1:7" x14ac:dyDescent="0.35">
      <c r="A54" s="33"/>
      <c r="B54" s="34"/>
      <c r="C54" s="35">
        <v>3</v>
      </c>
      <c r="D54" s="47" t="s">
        <v>156</v>
      </c>
      <c r="E54" s="36">
        <v>5</v>
      </c>
      <c r="F54" s="36"/>
      <c r="G54" s="36">
        <f t="shared" si="3"/>
        <v>5</v>
      </c>
    </row>
    <row r="55" spans="1:7" x14ac:dyDescent="0.35">
      <c r="A55" s="33"/>
      <c r="B55" s="34"/>
      <c r="C55" s="35">
        <v>4</v>
      </c>
      <c r="D55" s="47" t="s">
        <v>157</v>
      </c>
      <c r="E55" s="36">
        <v>5</v>
      </c>
      <c r="F55" s="36"/>
      <c r="G55" s="36">
        <f t="shared" si="3"/>
        <v>5</v>
      </c>
    </row>
    <row r="56" spans="1:7" x14ac:dyDescent="0.35">
      <c r="A56" s="33"/>
      <c r="B56" s="34"/>
      <c r="C56" s="35">
        <v>5</v>
      </c>
      <c r="D56" s="47" t="s">
        <v>158</v>
      </c>
      <c r="E56" s="36">
        <v>5</v>
      </c>
      <c r="F56" s="36"/>
      <c r="G56" s="36">
        <f t="shared" si="3"/>
        <v>5</v>
      </c>
    </row>
    <row r="57" spans="1:7" x14ac:dyDescent="0.35">
      <c r="A57" s="33"/>
      <c r="B57" s="34"/>
      <c r="C57" s="35">
        <v>6</v>
      </c>
      <c r="D57" s="47" t="s">
        <v>159</v>
      </c>
      <c r="E57" s="36">
        <v>15</v>
      </c>
      <c r="F57" s="36"/>
      <c r="G57" s="36">
        <f t="shared" si="3"/>
        <v>15</v>
      </c>
    </row>
    <row r="58" spans="1:7" x14ac:dyDescent="0.35">
      <c r="A58" s="33"/>
      <c r="B58" s="34"/>
      <c r="C58" s="35">
        <v>7</v>
      </c>
      <c r="D58" s="47" t="s">
        <v>160</v>
      </c>
      <c r="E58" s="36">
        <v>30</v>
      </c>
      <c r="F58" s="36"/>
      <c r="G58" s="36">
        <f t="shared" si="3"/>
        <v>30</v>
      </c>
    </row>
    <row r="59" spans="1:7" x14ac:dyDescent="0.35">
      <c r="A59" s="33"/>
      <c r="B59" s="34"/>
      <c r="C59" s="35">
        <v>8</v>
      </c>
      <c r="D59" s="47" t="s">
        <v>161</v>
      </c>
      <c r="E59" s="36"/>
      <c r="F59" s="36">
        <v>45</v>
      </c>
      <c r="G59" s="36">
        <f t="shared" si="3"/>
        <v>45</v>
      </c>
    </row>
    <row r="60" spans="1:7" x14ac:dyDescent="0.35">
      <c r="A60" s="33"/>
      <c r="B60" s="34"/>
      <c r="C60" s="37"/>
      <c r="D60" s="38" t="s">
        <v>94</v>
      </c>
      <c r="E60" s="39">
        <f>SUM(E52:E59)</f>
        <v>75</v>
      </c>
      <c r="F60" s="39">
        <f>SUM(F52:F59)</f>
        <v>45</v>
      </c>
      <c r="G60" s="39">
        <f>SUM(G52:G59)</f>
        <v>120</v>
      </c>
    </row>
    <row r="61" spans="1:7" x14ac:dyDescent="0.35">
      <c r="A61" s="29">
        <v>5</v>
      </c>
      <c r="B61" s="30" t="s">
        <v>162</v>
      </c>
      <c r="C61" s="31"/>
      <c r="D61" s="46"/>
      <c r="E61" s="31"/>
      <c r="F61" s="30"/>
      <c r="G61" s="32"/>
    </row>
    <row r="62" spans="1:7" x14ac:dyDescent="0.35">
      <c r="A62" s="33"/>
      <c r="B62" s="34"/>
      <c r="C62" s="35">
        <v>1</v>
      </c>
      <c r="D62" s="47" t="s">
        <v>163</v>
      </c>
      <c r="E62" s="36">
        <v>10</v>
      </c>
      <c r="F62" s="36"/>
      <c r="G62" s="36">
        <f>SUM(E62:F62)</f>
        <v>10</v>
      </c>
    </row>
    <row r="63" spans="1:7" x14ac:dyDescent="0.35">
      <c r="A63" s="33"/>
      <c r="B63" s="34"/>
      <c r="C63" s="35">
        <v>2</v>
      </c>
      <c r="D63" s="47" t="s">
        <v>164</v>
      </c>
      <c r="E63" s="36">
        <v>10</v>
      </c>
      <c r="F63" s="36"/>
      <c r="G63" s="36">
        <f>SUM(E63:F63)</f>
        <v>10</v>
      </c>
    </row>
    <row r="64" spans="1:7" x14ac:dyDescent="0.35">
      <c r="A64" s="33"/>
      <c r="B64" s="34"/>
      <c r="C64" s="35">
        <v>3</v>
      </c>
      <c r="D64" s="47" t="s">
        <v>165</v>
      </c>
      <c r="E64" s="36">
        <v>10</v>
      </c>
      <c r="F64" s="36"/>
      <c r="G64" s="36">
        <f>SUM(E64:F64)</f>
        <v>10</v>
      </c>
    </row>
    <row r="65" spans="1:7" x14ac:dyDescent="0.35">
      <c r="A65" s="33"/>
      <c r="B65" s="34"/>
      <c r="C65" s="35">
        <v>4</v>
      </c>
      <c r="D65" s="47" t="s">
        <v>166</v>
      </c>
      <c r="E65" s="36">
        <v>10</v>
      </c>
      <c r="F65" s="36"/>
      <c r="G65" s="36">
        <f>SUM(E65:F65)</f>
        <v>10</v>
      </c>
    </row>
    <row r="66" spans="1:7" x14ac:dyDescent="0.35">
      <c r="A66" s="33"/>
      <c r="B66" s="34"/>
      <c r="C66" s="35">
        <v>5</v>
      </c>
      <c r="D66" s="47" t="s">
        <v>167</v>
      </c>
      <c r="E66" s="36">
        <v>10</v>
      </c>
      <c r="F66" s="36"/>
      <c r="G66" s="36">
        <f>SUM(E66:F66)</f>
        <v>10</v>
      </c>
    </row>
    <row r="67" spans="1:7" x14ac:dyDescent="0.35">
      <c r="A67" s="33"/>
      <c r="B67" s="34"/>
      <c r="C67" s="37"/>
      <c r="D67" s="38" t="s">
        <v>94</v>
      </c>
      <c r="E67" s="39">
        <f>SUM(E62:E66)</f>
        <v>50</v>
      </c>
      <c r="F67" s="39">
        <f>SUM(F62:F66)</f>
        <v>0</v>
      </c>
      <c r="G67" s="39">
        <f>SUM(G62:G66)</f>
        <v>50</v>
      </c>
    </row>
    <row r="68" spans="1:7" customFormat="1" ht="14.5" x14ac:dyDescent="0.35"/>
    <row r="69" spans="1:7" x14ac:dyDescent="0.35">
      <c r="A69" s="79"/>
      <c r="B69" s="80"/>
      <c r="C69" s="81"/>
      <c r="D69" s="85"/>
      <c r="E69" s="80"/>
      <c r="F69" s="80"/>
    </row>
    <row r="70" spans="1:7" x14ac:dyDescent="0.35">
      <c r="A70" s="79"/>
      <c r="B70" s="80"/>
      <c r="C70" s="237" t="s">
        <v>99</v>
      </c>
      <c r="D70" s="238"/>
      <c r="E70" s="42">
        <f>SUM(E60,E50,E37,E23,E67)</f>
        <v>545</v>
      </c>
      <c r="F70" s="42">
        <f>SUM(F60,F50,F37,F23)</f>
        <v>125</v>
      </c>
      <c r="G70" s="42">
        <f>SUM(G60,G50,G37,G23)</f>
        <v>620</v>
      </c>
    </row>
    <row r="71" spans="1:7" x14ac:dyDescent="0.35">
      <c r="A71" s="79"/>
      <c r="B71" s="80"/>
      <c r="C71" s="237" t="s">
        <v>32</v>
      </c>
      <c r="D71" s="238"/>
      <c r="E71" s="43">
        <f>E70/$H$2</f>
        <v>1.1354166666666667</v>
      </c>
      <c r="F71" s="43">
        <f>F70/$H$2</f>
        <v>0.26041666666666669</v>
      </c>
      <c r="G71" s="43">
        <f>G70/$H$2</f>
        <v>1.2916666666666667</v>
      </c>
    </row>
    <row r="72" spans="1:7" x14ac:dyDescent="0.35">
      <c r="A72" s="79"/>
      <c r="B72" s="80"/>
      <c r="C72" s="220" t="s">
        <v>100</v>
      </c>
      <c r="D72" s="220"/>
      <c r="E72" s="43">
        <f>E71/$H$3</f>
        <v>0.22708333333333336</v>
      </c>
      <c r="F72" s="43">
        <f>F71/$H$3</f>
        <v>5.2083333333333336E-2</v>
      </c>
      <c r="G72" s="43">
        <f>G71/$H$3</f>
        <v>0.25833333333333336</v>
      </c>
    </row>
    <row r="73" spans="1:7" x14ac:dyDescent="0.35">
      <c r="A73" s="79"/>
      <c r="B73" s="80"/>
      <c r="C73" s="81"/>
      <c r="D73" s="85"/>
      <c r="E73" s="80"/>
      <c r="F73" s="80"/>
    </row>
    <row r="75" spans="1:7" ht="13.5" thickBot="1" x14ac:dyDescent="0.4"/>
    <row r="76" spans="1:7" ht="13.5" thickBot="1" x14ac:dyDescent="0.4">
      <c r="A76" s="82" t="s">
        <v>168</v>
      </c>
      <c r="B76" s="83"/>
      <c r="C76" s="84"/>
      <c r="D76" s="83"/>
      <c r="E76" s="83"/>
      <c r="F76" s="83"/>
      <c r="G76" s="84"/>
    </row>
    <row r="77" spans="1:7" ht="13.5" thickBot="1" x14ac:dyDescent="0.4">
      <c r="A77" s="57"/>
      <c r="B77" s="58"/>
      <c r="C77" s="59"/>
      <c r="D77" s="58"/>
      <c r="E77" s="58"/>
      <c r="F77" s="58"/>
      <c r="G77" s="59"/>
    </row>
    <row r="78" spans="1:7" ht="13.5" thickBot="1" x14ac:dyDescent="0.4"/>
    <row r="79" spans="1:7" x14ac:dyDescent="0.35">
      <c r="A79" s="48"/>
      <c r="B79" s="49"/>
      <c r="C79" s="50"/>
      <c r="D79" s="49"/>
      <c r="E79" s="49"/>
      <c r="F79" s="49"/>
      <c r="G79" s="51"/>
    </row>
    <row r="80" spans="1:7" x14ac:dyDescent="0.35">
      <c r="A80" s="52"/>
      <c r="B80" s="53"/>
      <c r="C80" s="54"/>
      <c r="G80" s="55"/>
    </row>
    <row r="81" spans="1:7" x14ac:dyDescent="0.35">
      <c r="A81" s="52"/>
      <c r="G81" s="55"/>
    </row>
    <row r="82" spans="1:7" x14ac:dyDescent="0.35">
      <c r="A82" s="52"/>
      <c r="B82" s="56"/>
      <c r="C82" s="54"/>
      <c r="G82" s="55"/>
    </row>
    <row r="83" spans="1:7" ht="13.5" thickBot="1" x14ac:dyDescent="0.4">
      <c r="A83" s="57"/>
      <c r="B83" s="58"/>
      <c r="C83" s="59"/>
      <c r="D83" s="58"/>
      <c r="E83" s="58"/>
      <c r="F83" s="58"/>
      <c r="G83" s="60"/>
    </row>
  </sheetData>
  <mergeCells count="7">
    <mergeCell ref="C72:D72"/>
    <mergeCell ref="A1:G1"/>
    <mergeCell ref="A4:G4"/>
    <mergeCell ref="A5:A6"/>
    <mergeCell ref="B5:G5"/>
    <mergeCell ref="C70:D70"/>
    <mergeCell ref="C71:D71"/>
  </mergeCells>
  <phoneticPr fontId="49" type="noConversion"/>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G52:G59 G8:G22 G39:G49 E8:E22 E39:E49 G25:G36 E52:E59 E25:E36 G62:G66 E62:E66" xr:uid="{1887E3F3-8212-4969-A291-5257370E2199}">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 sqref="G51 G24 G7 G38 G69 G73 G61" xr:uid="{DCF63D60-238C-49A5-95C9-FDD3F12F4A6B}">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25:F36 F8:F22 F39:F49 F52:F59 F62:F66" xr:uid="{E6A3771D-AD07-4A39-BF94-C7D4A194DCE2}">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BE02-5898-47FD-8971-BE69CB50E932}">
  <dimension ref="A1:H74"/>
  <sheetViews>
    <sheetView workbookViewId="0">
      <selection sqref="A1:G1"/>
    </sheetView>
  </sheetViews>
  <sheetFormatPr defaultColWidth="11.26953125" defaultRowHeight="14.5" x14ac:dyDescent="0.35"/>
  <cols>
    <col min="1" max="1" width="5.81640625" style="40" customWidth="1"/>
    <col min="2" max="2" width="38.81640625" style="92" bestFit="1" customWidth="1"/>
    <col min="3" max="3" width="11.26953125" style="28" customWidth="1"/>
    <col min="4" max="4" width="50.1796875" style="92" customWidth="1"/>
    <col min="5" max="7" width="9.1796875" style="28" customWidth="1"/>
    <col min="8" max="8" width="4" style="40" bestFit="1" customWidth="1"/>
    <col min="9" max="253" width="9.1796875" style="40" customWidth="1"/>
    <col min="254" max="254" width="5.81640625" style="40" customWidth="1"/>
    <col min="255" max="255" width="56.453125" style="40" customWidth="1"/>
    <col min="256" max="16384" width="11.26953125" style="40"/>
  </cols>
  <sheetData>
    <row r="1" spans="1:8" ht="18.5" x14ac:dyDescent="0.35">
      <c r="A1" s="221" t="s">
        <v>169</v>
      </c>
      <c r="B1" s="222"/>
      <c r="C1" s="222"/>
      <c r="D1" s="222"/>
      <c r="E1" s="222"/>
      <c r="F1" s="222"/>
      <c r="G1" s="222"/>
      <c r="H1" s="190">
        <v>60</v>
      </c>
    </row>
    <row r="2" spans="1:8" x14ac:dyDescent="0.35">
      <c r="A2" s="15" t="s">
        <v>109</v>
      </c>
      <c r="B2" s="16" t="s">
        <v>170</v>
      </c>
      <c r="C2" s="17"/>
      <c r="D2" s="44"/>
      <c r="E2" s="192"/>
      <c r="F2" s="192"/>
      <c r="G2" s="192"/>
      <c r="H2" s="190">
        <f>60*8</f>
        <v>480</v>
      </c>
    </row>
    <row r="3" spans="1:8" x14ac:dyDescent="0.35">
      <c r="A3" s="18" t="s">
        <v>82</v>
      </c>
      <c r="B3" s="16"/>
      <c r="C3" s="17"/>
      <c r="D3" s="45"/>
      <c r="E3" s="192"/>
      <c r="F3" s="192"/>
      <c r="G3" s="192"/>
      <c r="H3" s="190">
        <v>5</v>
      </c>
    </row>
    <row r="4" spans="1:8" ht="16" thickBot="1" x14ac:dyDescent="0.4">
      <c r="A4" s="223"/>
      <c r="B4" s="224"/>
      <c r="C4" s="224"/>
      <c r="D4" s="224"/>
      <c r="E4" s="192"/>
      <c r="F4" s="192"/>
      <c r="G4" s="192"/>
      <c r="H4" s="191"/>
    </row>
    <row r="5" spans="1:8" s="25" customFormat="1" ht="15.5" x14ac:dyDescent="0.35">
      <c r="A5" s="225" t="s">
        <v>83</v>
      </c>
      <c r="B5" s="227" t="s">
        <v>84</v>
      </c>
      <c r="C5" s="227"/>
      <c r="D5" s="227"/>
      <c r="E5" s="228"/>
      <c r="F5" s="228"/>
      <c r="G5" s="228"/>
      <c r="H5" s="193"/>
    </row>
    <row r="6" spans="1:8" s="28" customFormat="1" ht="52.5" thickBot="1" x14ac:dyDescent="0.4">
      <c r="A6" s="226"/>
      <c r="B6" s="61" t="s">
        <v>85</v>
      </c>
      <c r="C6" s="61" t="s">
        <v>86</v>
      </c>
      <c r="D6" s="61" t="s">
        <v>87</v>
      </c>
      <c r="E6" s="61" t="s">
        <v>88</v>
      </c>
      <c r="F6" s="61" t="s">
        <v>89</v>
      </c>
      <c r="G6" s="62" t="s">
        <v>90</v>
      </c>
      <c r="H6" s="192"/>
    </row>
    <row r="7" spans="1:8" x14ac:dyDescent="0.35">
      <c r="A7" s="63">
        <v>1</v>
      </c>
      <c r="B7" s="64" t="s">
        <v>171</v>
      </c>
      <c r="C7" s="65"/>
      <c r="D7" s="88"/>
      <c r="E7" s="65"/>
      <c r="F7" s="65"/>
      <c r="G7" s="66"/>
      <c r="H7" s="191"/>
    </row>
    <row r="8" spans="1:8" x14ac:dyDescent="0.35">
      <c r="A8" s="67"/>
      <c r="B8" s="68"/>
      <c r="C8" s="69">
        <v>1</v>
      </c>
      <c r="D8" s="86" t="s">
        <v>172</v>
      </c>
      <c r="E8" s="70">
        <v>5</v>
      </c>
      <c r="F8" s="70"/>
      <c r="G8" s="70">
        <f>E8</f>
        <v>5</v>
      </c>
      <c r="H8" s="191"/>
    </row>
    <row r="9" spans="1:8" x14ac:dyDescent="0.35">
      <c r="A9" s="67"/>
      <c r="B9" s="68"/>
      <c r="C9" s="69">
        <v>2</v>
      </c>
      <c r="D9" s="86" t="s">
        <v>173</v>
      </c>
      <c r="E9" s="70">
        <v>10</v>
      </c>
      <c r="F9" s="70"/>
      <c r="G9" s="70">
        <f>E9</f>
        <v>10</v>
      </c>
      <c r="H9" s="191"/>
    </row>
    <row r="10" spans="1:8" x14ac:dyDescent="0.35">
      <c r="A10" s="67"/>
      <c r="B10" s="68"/>
      <c r="C10" s="69">
        <v>3</v>
      </c>
      <c r="D10" s="86" t="s">
        <v>174</v>
      </c>
      <c r="E10" s="70">
        <v>10</v>
      </c>
      <c r="F10" s="70"/>
      <c r="G10" s="70">
        <f>E10</f>
        <v>10</v>
      </c>
      <c r="H10" s="191"/>
    </row>
    <row r="11" spans="1:8" x14ac:dyDescent="0.35">
      <c r="A11" s="67"/>
      <c r="B11" s="68"/>
      <c r="C11" s="69">
        <v>4</v>
      </c>
      <c r="D11" s="86" t="s">
        <v>175</v>
      </c>
      <c r="E11" s="70">
        <v>10</v>
      </c>
      <c r="F11" s="70"/>
      <c r="G11" s="70">
        <f>E11</f>
        <v>10</v>
      </c>
      <c r="H11" s="191"/>
    </row>
    <row r="12" spans="1:8" x14ac:dyDescent="0.35">
      <c r="A12" s="67"/>
      <c r="B12" s="68"/>
      <c r="C12" s="71"/>
      <c r="D12" s="87" t="s">
        <v>94</v>
      </c>
      <c r="E12" s="72">
        <f>SUM(E8:E11)</f>
        <v>35</v>
      </c>
      <c r="F12" s="72">
        <f>SUM(F8:F11)</f>
        <v>0</v>
      </c>
      <c r="G12" s="72">
        <f>SUM(G8:G11)</f>
        <v>35</v>
      </c>
      <c r="H12" s="191"/>
    </row>
    <row r="13" spans="1:8" x14ac:dyDescent="0.35">
      <c r="A13" s="63">
        <v>2</v>
      </c>
      <c r="B13" s="64" t="s">
        <v>176</v>
      </c>
      <c r="C13" s="65"/>
      <c r="D13" s="88"/>
      <c r="E13" s="65"/>
      <c r="F13" s="65"/>
      <c r="G13" s="66"/>
      <c r="H13" s="191"/>
    </row>
    <row r="14" spans="1:8" x14ac:dyDescent="0.35">
      <c r="A14" s="67"/>
      <c r="B14" s="68"/>
      <c r="C14" s="69">
        <v>1</v>
      </c>
      <c r="D14" s="86" t="s">
        <v>177</v>
      </c>
      <c r="E14" s="70">
        <v>10</v>
      </c>
      <c r="F14" s="70"/>
      <c r="G14" s="70">
        <f>E14</f>
        <v>10</v>
      </c>
      <c r="H14" s="191"/>
    </row>
    <row r="15" spans="1:8" x14ac:dyDescent="0.35">
      <c r="A15" s="67"/>
      <c r="B15" s="68"/>
      <c r="C15" s="69">
        <v>2</v>
      </c>
      <c r="D15" s="86" t="s">
        <v>178</v>
      </c>
      <c r="E15" s="70">
        <v>10</v>
      </c>
      <c r="F15" s="70"/>
      <c r="G15" s="70">
        <f>E15</f>
        <v>10</v>
      </c>
      <c r="H15" s="191"/>
    </row>
    <row r="16" spans="1:8" x14ac:dyDescent="0.35">
      <c r="A16" s="67"/>
      <c r="B16" s="68"/>
      <c r="C16" s="69">
        <v>3</v>
      </c>
      <c r="D16" s="86" t="s">
        <v>179</v>
      </c>
      <c r="E16" s="70">
        <v>10</v>
      </c>
      <c r="F16" s="70"/>
      <c r="G16" s="70">
        <f>E16</f>
        <v>10</v>
      </c>
      <c r="H16" s="191"/>
    </row>
    <row r="17" spans="1:7" x14ac:dyDescent="0.35">
      <c r="A17" s="67"/>
      <c r="B17" s="68"/>
      <c r="C17" s="69">
        <v>4</v>
      </c>
      <c r="D17" s="86" t="s">
        <v>180</v>
      </c>
      <c r="E17" s="70">
        <v>10</v>
      </c>
      <c r="F17" s="70"/>
      <c r="G17" s="70">
        <f>E17</f>
        <v>10</v>
      </c>
    </row>
    <row r="18" spans="1:7" x14ac:dyDescent="0.35">
      <c r="A18" s="67"/>
      <c r="B18" s="68"/>
      <c r="C18" s="71"/>
      <c r="D18" s="87" t="s">
        <v>94</v>
      </c>
      <c r="E18" s="72">
        <f>SUM(E14:E17)</f>
        <v>40</v>
      </c>
      <c r="F18" s="72">
        <f>SUM(F14:F16)</f>
        <v>0</v>
      </c>
      <c r="G18" s="72">
        <f>E18</f>
        <v>40</v>
      </c>
    </row>
    <row r="19" spans="1:7" x14ac:dyDescent="0.35">
      <c r="A19" s="63">
        <v>3</v>
      </c>
      <c r="B19" s="64" t="s">
        <v>181</v>
      </c>
      <c r="C19" s="65"/>
      <c r="D19" s="88"/>
      <c r="E19" s="65"/>
      <c r="F19" s="65"/>
      <c r="G19" s="66"/>
    </row>
    <row r="20" spans="1:7" x14ac:dyDescent="0.35">
      <c r="A20" s="67"/>
      <c r="B20" s="68"/>
      <c r="C20" s="69">
        <v>1</v>
      </c>
      <c r="D20" s="86" t="s">
        <v>182</v>
      </c>
      <c r="E20" s="70">
        <v>15</v>
      </c>
      <c r="F20" s="70"/>
      <c r="G20" s="70">
        <f>E20</f>
        <v>15</v>
      </c>
    </row>
    <row r="21" spans="1:7" x14ac:dyDescent="0.35">
      <c r="A21" s="67"/>
      <c r="B21" s="68"/>
      <c r="C21" s="69">
        <v>2</v>
      </c>
      <c r="D21" s="86" t="s">
        <v>183</v>
      </c>
      <c r="E21" s="70">
        <v>20</v>
      </c>
      <c r="F21" s="70"/>
      <c r="G21" s="70">
        <f t="shared" ref="G21:G30" si="0">E21</f>
        <v>20</v>
      </c>
    </row>
    <row r="22" spans="1:7" x14ac:dyDescent="0.35">
      <c r="A22" s="67"/>
      <c r="B22" s="68"/>
      <c r="C22" s="69"/>
      <c r="D22" s="86" t="s">
        <v>184</v>
      </c>
      <c r="E22" s="70">
        <v>10</v>
      </c>
      <c r="F22" s="70"/>
      <c r="G22" s="70">
        <f t="shared" si="0"/>
        <v>10</v>
      </c>
    </row>
    <row r="23" spans="1:7" x14ac:dyDescent="0.35">
      <c r="A23" s="67"/>
      <c r="B23" s="68"/>
      <c r="C23" s="69"/>
      <c r="D23" s="93" t="s">
        <v>185</v>
      </c>
      <c r="E23" s="70">
        <v>25</v>
      </c>
      <c r="F23" s="70"/>
      <c r="G23" s="70">
        <f t="shared" si="0"/>
        <v>25</v>
      </c>
    </row>
    <row r="24" spans="1:7" x14ac:dyDescent="0.35">
      <c r="A24" s="67"/>
      <c r="B24" s="68"/>
      <c r="C24" s="69"/>
      <c r="D24" s="93" t="s">
        <v>186</v>
      </c>
      <c r="E24" s="70">
        <v>25</v>
      </c>
      <c r="F24" s="70"/>
      <c r="G24" s="70">
        <f t="shared" si="0"/>
        <v>25</v>
      </c>
    </row>
    <row r="25" spans="1:7" x14ac:dyDescent="0.35">
      <c r="A25" s="67"/>
      <c r="B25" s="68"/>
      <c r="C25" s="69"/>
      <c r="D25" s="86" t="s">
        <v>187</v>
      </c>
      <c r="E25" s="70">
        <v>10</v>
      </c>
      <c r="F25" s="70"/>
      <c r="G25" s="70">
        <f t="shared" si="0"/>
        <v>10</v>
      </c>
    </row>
    <row r="26" spans="1:7" x14ac:dyDescent="0.35">
      <c r="A26" s="67"/>
      <c r="B26" s="68"/>
      <c r="C26" s="69"/>
      <c r="D26" s="93" t="s">
        <v>188</v>
      </c>
      <c r="E26" s="70">
        <v>20</v>
      </c>
      <c r="F26" s="70"/>
      <c r="G26" s="70">
        <f t="shared" si="0"/>
        <v>20</v>
      </c>
    </row>
    <row r="27" spans="1:7" x14ac:dyDescent="0.35">
      <c r="A27" s="67"/>
      <c r="B27" s="68"/>
      <c r="C27" s="69"/>
      <c r="D27" s="93" t="s">
        <v>189</v>
      </c>
      <c r="E27" s="70">
        <v>20</v>
      </c>
      <c r="F27" s="70"/>
      <c r="G27" s="70">
        <f t="shared" si="0"/>
        <v>20</v>
      </c>
    </row>
    <row r="28" spans="1:7" x14ac:dyDescent="0.35">
      <c r="A28" s="67"/>
      <c r="B28" s="68"/>
      <c r="C28" s="69"/>
      <c r="D28" s="93" t="s">
        <v>190</v>
      </c>
      <c r="E28" s="70">
        <v>20</v>
      </c>
      <c r="F28" s="70"/>
      <c r="G28" s="70">
        <f t="shared" si="0"/>
        <v>20</v>
      </c>
    </row>
    <row r="29" spans="1:7" x14ac:dyDescent="0.35">
      <c r="A29" s="67"/>
      <c r="B29" s="68"/>
      <c r="C29" s="69"/>
      <c r="D29" s="93" t="s">
        <v>191</v>
      </c>
      <c r="E29" s="70">
        <v>20</v>
      </c>
      <c r="F29" s="70"/>
      <c r="G29" s="70">
        <f t="shared" si="0"/>
        <v>20</v>
      </c>
    </row>
    <row r="30" spans="1:7" x14ac:dyDescent="0.35">
      <c r="A30" s="67"/>
      <c r="B30" s="68"/>
      <c r="C30" s="69">
        <v>3</v>
      </c>
      <c r="D30" s="86" t="s">
        <v>192</v>
      </c>
      <c r="E30" s="70">
        <v>15</v>
      </c>
      <c r="F30" s="70"/>
      <c r="G30" s="70">
        <f t="shared" si="0"/>
        <v>15</v>
      </c>
    </row>
    <row r="31" spans="1:7" x14ac:dyDescent="0.35">
      <c r="A31" s="191"/>
      <c r="B31" s="194"/>
      <c r="C31" s="71"/>
      <c r="D31" s="87" t="s">
        <v>94</v>
      </c>
      <c r="E31" s="72">
        <f>SUM(E20:E30)</f>
        <v>200</v>
      </c>
      <c r="F31" s="72">
        <f>SUM(F20:F30)</f>
        <v>0</v>
      </c>
      <c r="G31" s="72">
        <f>SUM(G20:G30)</f>
        <v>200</v>
      </c>
    </row>
    <row r="32" spans="1:7" x14ac:dyDescent="0.35">
      <c r="A32" s="63">
        <v>4</v>
      </c>
      <c r="B32" s="64" t="s">
        <v>193</v>
      </c>
      <c r="C32" s="65"/>
      <c r="D32" s="88"/>
      <c r="E32" s="65"/>
      <c r="F32" s="65"/>
      <c r="G32" s="66"/>
    </row>
    <row r="33" spans="1:7" x14ac:dyDescent="0.35">
      <c r="A33" s="67"/>
      <c r="B33" s="68"/>
      <c r="C33" s="69">
        <v>1</v>
      </c>
      <c r="D33" s="86" t="s">
        <v>194</v>
      </c>
      <c r="E33" s="70">
        <v>15</v>
      </c>
      <c r="F33" s="70"/>
      <c r="G33" s="70">
        <f>E33</f>
        <v>15</v>
      </c>
    </row>
    <row r="34" spans="1:7" x14ac:dyDescent="0.35">
      <c r="A34" s="67"/>
      <c r="B34" s="68"/>
      <c r="C34" s="69">
        <v>2</v>
      </c>
      <c r="D34" s="86" t="s">
        <v>195</v>
      </c>
      <c r="E34" s="70">
        <v>15</v>
      </c>
      <c r="F34" s="70"/>
      <c r="G34" s="70">
        <f>E34</f>
        <v>15</v>
      </c>
    </row>
    <row r="35" spans="1:7" x14ac:dyDescent="0.35">
      <c r="A35" s="191"/>
      <c r="B35" s="194"/>
      <c r="C35" s="71"/>
      <c r="D35" s="87" t="s">
        <v>94</v>
      </c>
      <c r="E35" s="72">
        <f>SUM(E33:E34)</f>
        <v>30</v>
      </c>
      <c r="F35" s="72">
        <f>SUM(F33:F34)</f>
        <v>0</v>
      </c>
      <c r="G35" s="72">
        <f>SUM(G33:G34)</f>
        <v>30</v>
      </c>
    </row>
    <row r="36" spans="1:7" x14ac:dyDescent="0.35">
      <c r="A36" s="63">
        <v>5</v>
      </c>
      <c r="B36" s="64" t="s">
        <v>196</v>
      </c>
      <c r="C36" s="65"/>
      <c r="D36" s="88"/>
      <c r="E36" s="65"/>
      <c r="F36" s="65"/>
      <c r="G36" s="66"/>
    </row>
    <row r="37" spans="1:7" x14ac:dyDescent="0.35">
      <c r="A37" s="67"/>
      <c r="B37" s="68"/>
      <c r="C37" s="69">
        <v>1</v>
      </c>
      <c r="D37" s="86" t="s">
        <v>197</v>
      </c>
      <c r="E37" s="70">
        <v>10</v>
      </c>
      <c r="F37" s="70"/>
      <c r="G37" s="70">
        <f>E37</f>
        <v>10</v>
      </c>
    </row>
    <row r="38" spans="1:7" x14ac:dyDescent="0.35">
      <c r="A38" s="67"/>
      <c r="B38" s="68"/>
      <c r="C38" s="69"/>
      <c r="D38" s="86" t="s">
        <v>198</v>
      </c>
      <c r="E38" s="70">
        <v>20</v>
      </c>
      <c r="F38" s="70"/>
      <c r="G38" s="70">
        <f>E38</f>
        <v>20</v>
      </c>
    </row>
    <row r="39" spans="1:7" x14ac:dyDescent="0.35">
      <c r="A39" s="191"/>
      <c r="B39" s="194"/>
      <c r="C39" s="71"/>
      <c r="D39" s="87" t="s">
        <v>94</v>
      </c>
      <c r="E39" s="72">
        <f>SUM(E37:E38)</f>
        <v>30</v>
      </c>
      <c r="F39" s="72">
        <f>SUM(F37:F38)</f>
        <v>0</v>
      </c>
      <c r="G39" s="72">
        <f>SUM(G37:G38)</f>
        <v>30</v>
      </c>
    </row>
    <row r="40" spans="1:7" x14ac:dyDescent="0.35">
      <c r="A40" s="63">
        <v>6</v>
      </c>
      <c r="B40" s="64" t="s">
        <v>199</v>
      </c>
      <c r="C40" s="65"/>
      <c r="D40" s="88"/>
      <c r="E40" s="65"/>
      <c r="F40" s="65"/>
      <c r="G40" s="66"/>
    </row>
    <row r="41" spans="1:7" x14ac:dyDescent="0.35">
      <c r="A41" s="191"/>
      <c r="B41" s="194"/>
      <c r="C41" s="69">
        <v>1</v>
      </c>
      <c r="D41" s="86" t="s">
        <v>200</v>
      </c>
      <c r="E41" s="192">
        <v>10</v>
      </c>
      <c r="F41" s="192"/>
      <c r="G41" s="192">
        <f>E41</f>
        <v>10</v>
      </c>
    </row>
    <row r="42" spans="1:7" x14ac:dyDescent="0.35">
      <c r="A42" s="191"/>
      <c r="B42" s="194"/>
      <c r="C42" s="69"/>
      <c r="D42" s="93" t="s">
        <v>201</v>
      </c>
      <c r="E42" s="192">
        <v>20</v>
      </c>
      <c r="F42" s="192"/>
      <c r="G42" s="192">
        <f t="shared" ref="G42:G49" si="1">E42</f>
        <v>20</v>
      </c>
    </row>
    <row r="43" spans="1:7" x14ac:dyDescent="0.35">
      <c r="A43" s="191"/>
      <c r="B43" s="194"/>
      <c r="C43" s="69"/>
      <c r="D43" s="93" t="s">
        <v>202</v>
      </c>
      <c r="E43" s="192">
        <v>25</v>
      </c>
      <c r="F43" s="192"/>
      <c r="G43" s="192">
        <f t="shared" si="1"/>
        <v>25</v>
      </c>
    </row>
    <row r="44" spans="1:7" x14ac:dyDescent="0.35">
      <c r="A44" s="191"/>
      <c r="B44" s="194"/>
      <c r="C44" s="69"/>
      <c r="D44" s="93" t="s">
        <v>203</v>
      </c>
      <c r="E44" s="192">
        <v>30</v>
      </c>
      <c r="F44" s="192"/>
      <c r="G44" s="192">
        <f t="shared" si="1"/>
        <v>30</v>
      </c>
    </row>
    <row r="45" spans="1:7" x14ac:dyDescent="0.35">
      <c r="A45" s="191"/>
      <c r="B45" s="194"/>
      <c r="C45" s="69"/>
      <c r="D45" s="93" t="s">
        <v>204</v>
      </c>
      <c r="E45" s="192">
        <v>30</v>
      </c>
      <c r="F45" s="192"/>
      <c r="G45" s="192">
        <f t="shared" si="1"/>
        <v>30</v>
      </c>
    </row>
    <row r="46" spans="1:7" x14ac:dyDescent="0.35">
      <c r="A46" s="191"/>
      <c r="B46" s="194"/>
      <c r="C46" s="69"/>
      <c r="D46" s="95" t="s">
        <v>205</v>
      </c>
      <c r="E46" s="192">
        <v>25</v>
      </c>
      <c r="F46" s="192"/>
      <c r="G46" s="192">
        <f t="shared" si="1"/>
        <v>25</v>
      </c>
    </row>
    <row r="47" spans="1:7" ht="26" x14ac:dyDescent="0.35">
      <c r="A47" s="191"/>
      <c r="B47" s="194"/>
      <c r="C47" s="69"/>
      <c r="D47" s="95" t="s">
        <v>206</v>
      </c>
      <c r="E47" s="192">
        <v>25</v>
      </c>
      <c r="F47" s="192"/>
      <c r="G47" s="192">
        <f t="shared" si="1"/>
        <v>25</v>
      </c>
    </row>
    <row r="48" spans="1:7" ht="26" x14ac:dyDescent="0.35">
      <c r="A48" s="191"/>
      <c r="B48" s="194"/>
      <c r="C48" s="69"/>
      <c r="D48" s="95" t="s">
        <v>207</v>
      </c>
      <c r="E48" s="192">
        <v>30</v>
      </c>
      <c r="F48" s="192"/>
      <c r="G48" s="192">
        <f t="shared" si="1"/>
        <v>30</v>
      </c>
    </row>
    <row r="49" spans="1:7" x14ac:dyDescent="0.35">
      <c r="A49" s="191"/>
      <c r="B49" s="194"/>
      <c r="C49" s="69"/>
      <c r="D49" s="95" t="s">
        <v>208</v>
      </c>
      <c r="E49" s="192">
        <v>20</v>
      </c>
      <c r="F49" s="192"/>
      <c r="G49" s="192">
        <f t="shared" si="1"/>
        <v>20</v>
      </c>
    </row>
    <row r="50" spans="1:7" x14ac:dyDescent="0.35">
      <c r="A50" s="191"/>
      <c r="B50" s="194"/>
      <c r="C50" s="71"/>
      <c r="D50" s="87" t="s">
        <v>94</v>
      </c>
      <c r="E50" s="72">
        <f>SUM(E41:E49)</f>
        <v>215</v>
      </c>
      <c r="F50" s="72"/>
      <c r="G50" s="72">
        <f>E50</f>
        <v>215</v>
      </c>
    </row>
    <row r="51" spans="1:7" x14ac:dyDescent="0.35">
      <c r="A51" s="63">
        <v>7</v>
      </c>
      <c r="B51" s="64" t="s">
        <v>209</v>
      </c>
      <c r="C51" s="65"/>
      <c r="D51" s="88"/>
      <c r="E51" s="65"/>
      <c r="F51" s="65"/>
      <c r="G51" s="66"/>
    </row>
    <row r="52" spans="1:7" x14ac:dyDescent="0.35">
      <c r="A52" s="67"/>
      <c r="B52" s="68"/>
      <c r="C52" s="69">
        <v>1</v>
      </c>
      <c r="D52" s="86" t="s">
        <v>210</v>
      </c>
      <c r="E52" s="70"/>
      <c r="F52" s="70">
        <v>80</v>
      </c>
      <c r="G52" s="70">
        <f>F52</f>
        <v>80</v>
      </c>
    </row>
    <row r="53" spans="1:7" x14ac:dyDescent="0.35">
      <c r="A53" s="67"/>
      <c r="B53" s="68"/>
      <c r="C53" s="69">
        <v>2</v>
      </c>
      <c r="D53" s="86" t="s">
        <v>211</v>
      </c>
      <c r="E53" s="70"/>
      <c r="F53" s="70">
        <v>20</v>
      </c>
      <c r="G53" s="70">
        <f>F53</f>
        <v>20</v>
      </c>
    </row>
    <row r="54" spans="1:7" x14ac:dyDescent="0.35">
      <c r="A54" s="75"/>
      <c r="B54" s="76"/>
      <c r="C54" s="69">
        <v>3</v>
      </c>
      <c r="D54" s="86" t="s">
        <v>212</v>
      </c>
      <c r="E54" s="70"/>
      <c r="F54" s="70">
        <v>20</v>
      </c>
      <c r="G54" s="70">
        <f>F54</f>
        <v>20</v>
      </c>
    </row>
    <row r="55" spans="1:7" x14ac:dyDescent="0.35">
      <c r="A55" s="191"/>
      <c r="B55" s="194"/>
      <c r="C55" s="71"/>
      <c r="D55" s="87" t="s">
        <v>94</v>
      </c>
      <c r="E55" s="72">
        <f>SUM(E52:E53)</f>
        <v>0</v>
      </c>
      <c r="F55" s="72">
        <f>SUM(F52:F54)</f>
        <v>120</v>
      </c>
      <c r="G55" s="72">
        <f>F55</f>
        <v>120</v>
      </c>
    </row>
    <row r="56" spans="1:7" x14ac:dyDescent="0.35">
      <c r="A56" s="63">
        <v>8</v>
      </c>
      <c r="B56" s="64" t="s">
        <v>213</v>
      </c>
      <c r="C56" s="65"/>
      <c r="D56" s="88"/>
      <c r="E56" s="65"/>
      <c r="F56" s="65"/>
      <c r="G56" s="66"/>
    </row>
    <row r="57" spans="1:7" x14ac:dyDescent="0.35">
      <c r="A57" s="67"/>
      <c r="B57" s="68"/>
      <c r="C57" s="69">
        <v>1</v>
      </c>
      <c r="D57" s="86" t="s">
        <v>214</v>
      </c>
      <c r="E57" s="70">
        <v>15</v>
      </c>
      <c r="F57" s="70"/>
      <c r="G57" s="70">
        <f>E57</f>
        <v>15</v>
      </c>
    </row>
    <row r="58" spans="1:7" x14ac:dyDescent="0.35">
      <c r="A58" s="67"/>
      <c r="B58" s="68"/>
      <c r="C58" s="69">
        <v>2</v>
      </c>
      <c r="D58" s="86" t="s">
        <v>215</v>
      </c>
      <c r="E58" s="70">
        <v>15</v>
      </c>
      <c r="F58" s="70"/>
      <c r="G58" s="70">
        <f>E58</f>
        <v>15</v>
      </c>
    </row>
    <row r="59" spans="1:7" x14ac:dyDescent="0.35">
      <c r="A59" s="191"/>
      <c r="B59" s="194"/>
      <c r="C59" s="71"/>
      <c r="D59" s="87" t="s">
        <v>94</v>
      </c>
      <c r="E59" s="72">
        <f>SUM(E57:E58)</f>
        <v>30</v>
      </c>
      <c r="F59" s="72">
        <f>SUM(F57:F58)</f>
        <v>0</v>
      </c>
      <c r="G59" s="72">
        <f>SUM(G57:G58)</f>
        <v>30</v>
      </c>
    </row>
    <row r="60" spans="1:7" x14ac:dyDescent="0.35">
      <c r="A60" s="63">
        <v>9</v>
      </c>
      <c r="B60" s="64" t="s">
        <v>216</v>
      </c>
      <c r="C60" s="65"/>
      <c r="D60" s="88"/>
      <c r="E60" s="65"/>
      <c r="F60" s="65"/>
      <c r="G60" s="66"/>
    </row>
    <row r="61" spans="1:7" x14ac:dyDescent="0.35">
      <c r="A61" s="94"/>
      <c r="B61" s="68"/>
      <c r="C61" s="69">
        <v>1</v>
      </c>
      <c r="D61" s="86" t="s">
        <v>217</v>
      </c>
      <c r="E61" s="89">
        <v>15</v>
      </c>
      <c r="F61" s="69"/>
      <c r="G61" s="70">
        <f t="shared" ref="G61:G66" si="2">E61</f>
        <v>15</v>
      </c>
    </row>
    <row r="62" spans="1:7" x14ac:dyDescent="0.35">
      <c r="A62" s="94"/>
      <c r="B62" s="68"/>
      <c r="C62" s="69">
        <v>2</v>
      </c>
      <c r="D62" s="86" t="s">
        <v>218</v>
      </c>
      <c r="E62" s="89">
        <v>15</v>
      </c>
      <c r="F62" s="69"/>
      <c r="G62" s="70">
        <f t="shared" si="2"/>
        <v>15</v>
      </c>
    </row>
    <row r="63" spans="1:7" x14ac:dyDescent="0.35">
      <c r="A63" s="94"/>
      <c r="B63" s="68"/>
      <c r="C63" s="69">
        <v>3</v>
      </c>
      <c r="D63" s="86" t="s">
        <v>219</v>
      </c>
      <c r="E63" s="89">
        <v>15</v>
      </c>
      <c r="F63" s="69"/>
      <c r="G63" s="70">
        <f t="shared" si="2"/>
        <v>15</v>
      </c>
    </row>
    <row r="64" spans="1:7" x14ac:dyDescent="0.35">
      <c r="A64" s="67"/>
      <c r="B64" s="68"/>
      <c r="C64" s="69">
        <v>4</v>
      </c>
      <c r="D64" s="86" t="s">
        <v>220</v>
      </c>
      <c r="E64" s="70">
        <v>15</v>
      </c>
      <c r="F64" s="70"/>
      <c r="G64" s="70">
        <f t="shared" si="2"/>
        <v>15</v>
      </c>
    </row>
    <row r="65" spans="1:7" x14ac:dyDescent="0.35">
      <c r="A65" s="67"/>
      <c r="B65" s="68"/>
      <c r="C65" s="69">
        <v>5</v>
      </c>
      <c r="D65" s="86" t="s">
        <v>221</v>
      </c>
      <c r="E65" s="70">
        <v>15</v>
      </c>
      <c r="F65" s="70"/>
      <c r="G65" s="70">
        <f t="shared" si="2"/>
        <v>15</v>
      </c>
    </row>
    <row r="66" spans="1:7" x14ac:dyDescent="0.35">
      <c r="A66" s="75"/>
      <c r="B66" s="76"/>
      <c r="C66" s="69">
        <v>6</v>
      </c>
      <c r="D66" s="86" t="s">
        <v>222</v>
      </c>
      <c r="E66" s="70">
        <v>15</v>
      </c>
      <c r="F66" s="70"/>
      <c r="G66" s="70">
        <f t="shared" si="2"/>
        <v>15</v>
      </c>
    </row>
    <row r="67" spans="1:7" x14ac:dyDescent="0.35">
      <c r="A67" s="191"/>
      <c r="B67" s="194"/>
      <c r="C67" s="71"/>
      <c r="D67" s="87" t="s">
        <v>94</v>
      </c>
      <c r="E67" s="72">
        <f>SUM(E61:E66)</f>
        <v>90</v>
      </c>
      <c r="F67" s="72">
        <f>SUM(F64:F65)</f>
        <v>0</v>
      </c>
      <c r="G67" s="72">
        <f>SUM(G61:G66)</f>
        <v>90</v>
      </c>
    </row>
    <row r="68" spans="1:7" x14ac:dyDescent="0.35">
      <c r="A68" s="63">
        <v>10</v>
      </c>
      <c r="B68" s="64" t="s">
        <v>223</v>
      </c>
      <c r="C68" s="65"/>
      <c r="D68" s="88"/>
      <c r="E68" s="65"/>
      <c r="F68" s="65"/>
      <c r="G68" s="66"/>
    </row>
    <row r="69" spans="1:7" x14ac:dyDescent="0.35">
      <c r="A69" s="67"/>
      <c r="B69" s="68"/>
      <c r="C69" s="69">
        <v>1</v>
      </c>
      <c r="D69" s="86" t="s">
        <v>224</v>
      </c>
      <c r="E69" s="70">
        <v>15</v>
      </c>
      <c r="F69" s="70"/>
      <c r="G69" s="70">
        <f>E69</f>
        <v>15</v>
      </c>
    </row>
    <row r="70" spans="1:7" x14ac:dyDescent="0.35">
      <c r="A70" s="191"/>
      <c r="B70" s="194"/>
      <c r="C70" s="71"/>
      <c r="D70" s="87" t="s">
        <v>94</v>
      </c>
      <c r="E70" s="72">
        <f>SUM(E69:E69)</f>
        <v>15</v>
      </c>
      <c r="F70" s="72">
        <f>SUM(F69:F69)</f>
        <v>0</v>
      </c>
      <c r="G70" s="72">
        <f>SUM(G69:G69)</f>
        <v>15</v>
      </c>
    </row>
    <row r="72" spans="1:7" x14ac:dyDescent="0.35">
      <c r="A72" s="191"/>
      <c r="B72" s="194"/>
      <c r="C72" s="220" t="s">
        <v>99</v>
      </c>
      <c r="D72" s="220"/>
      <c r="E72" s="42">
        <f>SUM(E70,E67,E59,E55,E50,E39,E35,E31,E18,E12)</f>
        <v>685</v>
      </c>
      <c r="F72" s="42">
        <f>SUM(F70,F67,F59,F55,F39,F35,F31,F18,F12)</f>
        <v>120</v>
      </c>
      <c r="G72" s="42">
        <f>SUM(E72,F72)</f>
        <v>805</v>
      </c>
    </row>
    <row r="73" spans="1:7" x14ac:dyDescent="0.35">
      <c r="A73" s="191"/>
      <c r="B73" s="194"/>
      <c r="C73" s="220" t="s">
        <v>32</v>
      </c>
      <c r="D73" s="220"/>
      <c r="E73" s="43">
        <f>E72/60</f>
        <v>11.416666666666666</v>
      </c>
      <c r="F73" s="43">
        <f>F72/$H$2</f>
        <v>0.25</v>
      </c>
      <c r="G73" s="43">
        <f>G72/$H$2</f>
        <v>1.6770833333333333</v>
      </c>
    </row>
    <row r="74" spans="1:7" x14ac:dyDescent="0.35">
      <c r="A74" s="191"/>
      <c r="B74" s="194"/>
      <c r="C74" s="220" t="s">
        <v>100</v>
      </c>
      <c r="D74" s="220"/>
      <c r="E74" s="43">
        <f>E73/$H$3</f>
        <v>2.2833333333333332</v>
      </c>
      <c r="F74" s="43">
        <f>F73/$H$3</f>
        <v>0.05</v>
      </c>
      <c r="G74" s="43">
        <f>G73/$H$3</f>
        <v>0.33541666666666664</v>
      </c>
    </row>
  </sheetData>
  <mergeCells count="7">
    <mergeCell ref="C74:D74"/>
    <mergeCell ref="A1:G1"/>
    <mergeCell ref="A4:D4"/>
    <mergeCell ref="A5:A6"/>
    <mergeCell ref="B5:G5"/>
    <mergeCell ref="C72:D72"/>
    <mergeCell ref="C73:D73"/>
  </mergeCells>
  <phoneticPr fontId="49" type="noConversion"/>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G8:G11 E8:E11 G20:G30 E33:E34 G33:G34 E37:E38 G14:G18 E52:E54 G37:G38 E57:E58 G61:G66 E64:E66 G57:G58 E69 E20:E30 G52:G54 E14:E17 G69" xr:uid="{7D65EF1E-F7AD-4D19-AA9F-370123281A63}">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8:F11 F33:F34 F37:F38 F52:F54 F57:F58 F64:F66 F69 F20:F30 F14:F17" xr:uid="{9FF7F235-79AE-49BF-B284-51C11712940E}">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 sqref="G7 G13 G19 G32 G36 G51 G56 G40 G68 G60" xr:uid="{CC8CB0C6-F622-40A6-A6CC-C842EB3FB291}">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87CA-1FC3-4E66-A622-ECBF23FDE985}">
  <dimension ref="A1:H56"/>
  <sheetViews>
    <sheetView workbookViewId="0"/>
  </sheetViews>
  <sheetFormatPr defaultColWidth="11.26953125" defaultRowHeight="14.5" x14ac:dyDescent="0.35"/>
  <cols>
    <col min="1" max="1" width="5.81640625" style="40" customWidth="1"/>
    <col min="2" max="2" width="38.81640625" style="92" bestFit="1" customWidth="1"/>
    <col min="3" max="3" width="11.26953125" style="28" customWidth="1"/>
    <col min="4" max="4" width="50.1796875" style="92" customWidth="1"/>
    <col min="5" max="7" width="9.1796875" style="28" customWidth="1"/>
    <col min="8" max="8" width="4" style="40" bestFit="1" customWidth="1"/>
    <col min="9" max="253" width="9.1796875" style="40" customWidth="1"/>
    <col min="254" max="254" width="5.81640625" style="40" customWidth="1"/>
    <col min="255" max="255" width="56.453125" style="40" customWidth="1"/>
    <col min="256" max="16384" width="11.26953125" style="40"/>
  </cols>
  <sheetData>
    <row r="1" spans="1:8" ht="18.5" x14ac:dyDescent="0.35">
      <c r="A1" s="221" t="s">
        <v>225</v>
      </c>
      <c r="B1" s="222"/>
      <c r="C1" s="222"/>
      <c r="D1" s="222"/>
      <c r="E1" s="222"/>
      <c r="F1" s="222"/>
      <c r="G1" s="222"/>
      <c r="H1" s="190">
        <v>60</v>
      </c>
    </row>
    <row r="2" spans="1:8" x14ac:dyDescent="0.35">
      <c r="A2" s="15" t="s">
        <v>109</v>
      </c>
      <c r="B2" s="16" t="s">
        <v>226</v>
      </c>
      <c r="C2" s="17"/>
      <c r="D2" s="44"/>
      <c r="E2" s="192"/>
      <c r="F2" s="192"/>
      <c r="G2" s="192"/>
      <c r="H2" s="190">
        <f>60*8</f>
        <v>480</v>
      </c>
    </row>
    <row r="3" spans="1:8" x14ac:dyDescent="0.35">
      <c r="A3" s="18" t="s">
        <v>82</v>
      </c>
      <c r="B3" s="16"/>
      <c r="C3" s="17"/>
      <c r="D3" s="45"/>
      <c r="E3" s="192"/>
      <c r="F3" s="192"/>
      <c r="G3" s="192"/>
      <c r="H3" s="190">
        <v>5</v>
      </c>
    </row>
    <row r="4" spans="1:8" ht="16" thickBot="1" x14ac:dyDescent="0.4">
      <c r="A4" s="223"/>
      <c r="B4" s="224"/>
      <c r="C4" s="224"/>
      <c r="D4" s="224"/>
      <c r="E4" s="192"/>
      <c r="F4" s="192"/>
      <c r="G4" s="192"/>
      <c r="H4" s="191"/>
    </row>
    <row r="5" spans="1:8" s="25" customFormat="1" ht="15.5" x14ac:dyDescent="0.35">
      <c r="A5" s="225" t="s">
        <v>83</v>
      </c>
      <c r="B5" s="227" t="s">
        <v>84</v>
      </c>
      <c r="C5" s="227"/>
      <c r="D5" s="227"/>
      <c r="E5" s="228"/>
      <c r="F5" s="228"/>
      <c r="G5" s="228"/>
      <c r="H5" s="193"/>
    </row>
    <row r="6" spans="1:8" s="28" customFormat="1" ht="52.5" thickBot="1" x14ac:dyDescent="0.4">
      <c r="A6" s="226"/>
      <c r="B6" s="61" t="s">
        <v>85</v>
      </c>
      <c r="C6" s="61" t="s">
        <v>86</v>
      </c>
      <c r="D6" s="61" t="s">
        <v>87</v>
      </c>
      <c r="E6" s="61" t="s">
        <v>88</v>
      </c>
      <c r="F6" s="61" t="s">
        <v>89</v>
      </c>
      <c r="G6" s="62" t="s">
        <v>90</v>
      </c>
      <c r="H6" s="192"/>
    </row>
    <row r="7" spans="1:8" x14ac:dyDescent="0.35">
      <c r="A7" s="63">
        <v>1</v>
      </c>
      <c r="B7" s="64" t="s">
        <v>171</v>
      </c>
      <c r="C7" s="65"/>
      <c r="D7" s="88"/>
      <c r="E7" s="65"/>
      <c r="F7" s="65"/>
      <c r="G7" s="66"/>
      <c r="H7" s="191"/>
    </row>
    <row r="8" spans="1:8" x14ac:dyDescent="0.35">
      <c r="A8" s="67"/>
      <c r="B8" s="68"/>
      <c r="C8" s="69">
        <v>1</v>
      </c>
      <c r="D8" s="86" t="s">
        <v>227</v>
      </c>
      <c r="E8" s="70">
        <v>5</v>
      </c>
      <c r="F8" s="70"/>
      <c r="G8" s="70">
        <f>E8</f>
        <v>5</v>
      </c>
      <c r="H8" s="191"/>
    </row>
    <row r="9" spans="1:8" x14ac:dyDescent="0.35">
      <c r="A9" s="67"/>
      <c r="B9" s="68"/>
      <c r="C9" s="69">
        <v>2</v>
      </c>
      <c r="D9" s="86" t="s">
        <v>228</v>
      </c>
      <c r="E9" s="70">
        <v>15</v>
      </c>
      <c r="F9" s="70"/>
      <c r="G9" s="70">
        <f t="shared" ref="G9:G16" si="0">E9</f>
        <v>15</v>
      </c>
      <c r="H9" s="191"/>
    </row>
    <row r="10" spans="1:8" x14ac:dyDescent="0.35">
      <c r="A10" s="67"/>
      <c r="B10" s="68"/>
      <c r="C10" s="69">
        <v>3</v>
      </c>
      <c r="D10" s="86" t="s">
        <v>229</v>
      </c>
      <c r="E10" s="70">
        <v>5</v>
      </c>
      <c r="F10" s="70"/>
      <c r="G10" s="70">
        <f t="shared" si="0"/>
        <v>5</v>
      </c>
      <c r="H10" s="191"/>
    </row>
    <row r="11" spans="1:8" x14ac:dyDescent="0.35">
      <c r="A11" s="191"/>
      <c r="B11" s="194"/>
      <c r="C11" s="69">
        <v>4</v>
      </c>
      <c r="D11" s="86" t="s">
        <v>230</v>
      </c>
      <c r="E11" s="70">
        <v>5</v>
      </c>
      <c r="F11" s="192"/>
      <c r="G11" s="70">
        <f t="shared" si="0"/>
        <v>5</v>
      </c>
      <c r="H11" s="191"/>
    </row>
    <row r="12" spans="1:8" x14ac:dyDescent="0.35">
      <c r="A12" s="191"/>
      <c r="B12" s="194"/>
      <c r="C12" s="69">
        <v>5</v>
      </c>
      <c r="D12" s="86" t="s">
        <v>231</v>
      </c>
      <c r="E12" s="70">
        <v>5</v>
      </c>
      <c r="F12" s="192"/>
      <c r="G12" s="70">
        <f t="shared" si="0"/>
        <v>5</v>
      </c>
      <c r="H12" s="191"/>
    </row>
    <row r="13" spans="1:8" x14ac:dyDescent="0.35">
      <c r="A13" s="191"/>
      <c r="B13" s="194"/>
      <c r="C13" s="71"/>
      <c r="D13" s="87" t="s">
        <v>94</v>
      </c>
      <c r="E13" s="72">
        <f>SUM(E8:E12)</f>
        <v>35</v>
      </c>
      <c r="F13" s="72"/>
      <c r="G13" s="72">
        <f t="shared" si="0"/>
        <v>35</v>
      </c>
      <c r="H13" s="191"/>
    </row>
    <row r="14" spans="1:8" x14ac:dyDescent="0.35">
      <c r="A14" s="63">
        <v>2</v>
      </c>
      <c r="B14" s="64" t="s">
        <v>232</v>
      </c>
      <c r="C14" s="65"/>
      <c r="D14" s="88"/>
      <c r="E14" s="65"/>
      <c r="F14" s="65"/>
      <c r="G14" s="66"/>
      <c r="H14" s="191"/>
    </row>
    <row r="15" spans="1:8" x14ac:dyDescent="0.35">
      <c r="A15" s="191"/>
      <c r="B15" s="194"/>
      <c r="C15" s="69">
        <v>1</v>
      </c>
      <c r="D15" s="86" t="s">
        <v>233</v>
      </c>
      <c r="E15" s="70">
        <v>30</v>
      </c>
      <c r="F15" s="192"/>
      <c r="G15" s="70">
        <f t="shared" si="0"/>
        <v>30</v>
      </c>
      <c r="H15" s="191"/>
    </row>
    <row r="16" spans="1:8" x14ac:dyDescent="0.35">
      <c r="A16" s="191"/>
      <c r="B16" s="194"/>
      <c r="C16" s="71"/>
      <c r="D16" s="87" t="s">
        <v>94</v>
      </c>
      <c r="E16" s="72">
        <f>SUM(E15)</f>
        <v>30</v>
      </c>
      <c r="F16" s="72"/>
      <c r="G16" s="72">
        <f t="shared" si="0"/>
        <v>30</v>
      </c>
      <c r="H16" s="191"/>
    </row>
    <row r="17" spans="1:7" x14ac:dyDescent="0.35">
      <c r="A17" s="63">
        <v>3</v>
      </c>
      <c r="B17" s="64" t="s">
        <v>234</v>
      </c>
      <c r="C17" s="65"/>
      <c r="D17" s="88"/>
      <c r="E17" s="65"/>
      <c r="F17" s="65"/>
      <c r="G17" s="66"/>
    </row>
    <row r="18" spans="1:7" x14ac:dyDescent="0.35">
      <c r="A18" s="191"/>
      <c r="B18" s="194"/>
      <c r="C18" s="69">
        <v>1</v>
      </c>
      <c r="D18" s="86" t="s">
        <v>235</v>
      </c>
      <c r="E18" s="192">
        <v>20</v>
      </c>
      <c r="F18" s="192"/>
      <c r="G18" s="192">
        <f>E18</f>
        <v>20</v>
      </c>
    </row>
    <row r="19" spans="1:7" x14ac:dyDescent="0.35">
      <c r="A19" s="191"/>
      <c r="B19" s="194"/>
      <c r="C19" s="69">
        <v>2</v>
      </c>
      <c r="D19" s="86" t="s">
        <v>236</v>
      </c>
      <c r="E19" s="192">
        <v>25</v>
      </c>
      <c r="F19" s="192"/>
      <c r="G19" s="192">
        <f>E19</f>
        <v>25</v>
      </c>
    </row>
    <row r="20" spans="1:7" x14ac:dyDescent="0.35">
      <c r="A20" s="191"/>
      <c r="B20" s="194"/>
      <c r="C20" s="69">
        <v>3</v>
      </c>
      <c r="D20" s="86" t="s">
        <v>237</v>
      </c>
      <c r="E20" s="192">
        <v>20</v>
      </c>
      <c r="F20" s="192"/>
      <c r="G20" s="192">
        <f>E20</f>
        <v>20</v>
      </c>
    </row>
    <row r="21" spans="1:7" x14ac:dyDescent="0.35">
      <c r="A21" s="191"/>
      <c r="B21" s="194"/>
      <c r="C21" s="71"/>
      <c r="D21" s="87" t="s">
        <v>94</v>
      </c>
      <c r="E21" s="72">
        <f>SUM(E18:E20)</f>
        <v>65</v>
      </c>
      <c r="F21" s="72"/>
      <c r="G21" s="72">
        <f>E21</f>
        <v>65</v>
      </c>
    </row>
    <row r="22" spans="1:7" x14ac:dyDescent="0.35">
      <c r="A22" s="63">
        <v>4</v>
      </c>
      <c r="B22" s="64" t="s">
        <v>238</v>
      </c>
      <c r="C22" s="65"/>
      <c r="D22" s="88"/>
      <c r="E22" s="65"/>
      <c r="F22" s="65"/>
      <c r="G22" s="66"/>
    </row>
    <row r="23" spans="1:7" x14ac:dyDescent="0.35">
      <c r="A23" s="191"/>
      <c r="B23" s="194"/>
      <c r="C23" s="69">
        <v>1</v>
      </c>
      <c r="D23" s="86" t="s">
        <v>239</v>
      </c>
      <c r="E23" s="192">
        <v>10</v>
      </c>
      <c r="F23" s="192"/>
      <c r="G23" s="192">
        <f>E23</f>
        <v>10</v>
      </c>
    </row>
    <row r="24" spans="1:7" x14ac:dyDescent="0.35">
      <c r="A24" s="191"/>
      <c r="B24" s="194"/>
      <c r="C24" s="69">
        <v>2</v>
      </c>
      <c r="D24" s="86" t="s">
        <v>240</v>
      </c>
      <c r="E24" s="192">
        <v>10</v>
      </c>
      <c r="F24" s="192"/>
      <c r="G24" s="192">
        <f>E24</f>
        <v>10</v>
      </c>
    </row>
    <row r="25" spans="1:7" x14ac:dyDescent="0.35">
      <c r="A25" s="191"/>
      <c r="B25" s="194"/>
      <c r="C25" s="69">
        <v>3</v>
      </c>
      <c r="D25" s="86" t="s">
        <v>241</v>
      </c>
      <c r="E25" s="192">
        <v>10</v>
      </c>
      <c r="F25" s="192"/>
      <c r="G25" s="192">
        <f>E25</f>
        <v>10</v>
      </c>
    </row>
    <row r="26" spans="1:7" x14ac:dyDescent="0.35">
      <c r="A26" s="191"/>
      <c r="B26" s="194"/>
      <c r="C26" s="69">
        <v>4</v>
      </c>
      <c r="D26" s="86" t="s">
        <v>242</v>
      </c>
      <c r="E26" s="192">
        <v>10</v>
      </c>
      <c r="F26" s="192"/>
      <c r="G26" s="192">
        <f>E26</f>
        <v>10</v>
      </c>
    </row>
    <row r="27" spans="1:7" x14ac:dyDescent="0.35">
      <c r="A27" s="191"/>
      <c r="B27" s="194"/>
      <c r="C27" s="71"/>
      <c r="D27" s="87" t="s">
        <v>94</v>
      </c>
      <c r="E27" s="72">
        <f>SUM(E23:E26)</f>
        <v>40</v>
      </c>
      <c r="F27" s="72"/>
      <c r="G27" s="72">
        <f>E27</f>
        <v>40</v>
      </c>
    </row>
    <row r="28" spans="1:7" x14ac:dyDescent="0.35">
      <c r="A28" s="63">
        <v>5</v>
      </c>
      <c r="B28" s="64" t="s">
        <v>243</v>
      </c>
      <c r="C28" s="65"/>
      <c r="D28" s="88"/>
      <c r="E28" s="65"/>
      <c r="F28" s="65"/>
      <c r="G28" s="66"/>
    </row>
    <row r="29" spans="1:7" x14ac:dyDescent="0.35">
      <c r="A29" s="75"/>
      <c r="B29" s="76"/>
      <c r="C29" s="69">
        <v>1</v>
      </c>
      <c r="D29" s="86" t="s">
        <v>244</v>
      </c>
      <c r="E29" s="192">
        <v>20</v>
      </c>
      <c r="F29" s="77"/>
      <c r="G29" s="78">
        <v>10</v>
      </c>
    </row>
    <row r="30" spans="1:7" x14ac:dyDescent="0.35">
      <c r="A30" s="191"/>
      <c r="B30" s="194"/>
      <c r="C30" s="69">
        <v>2</v>
      </c>
      <c r="D30" s="86" t="s">
        <v>245</v>
      </c>
      <c r="E30" s="192">
        <v>30</v>
      </c>
      <c r="F30" s="192"/>
      <c r="G30" s="192">
        <f>E30</f>
        <v>30</v>
      </c>
    </row>
    <row r="31" spans="1:7" x14ac:dyDescent="0.35">
      <c r="A31" s="191"/>
      <c r="B31" s="194"/>
      <c r="C31" s="69">
        <v>3</v>
      </c>
      <c r="D31" s="86" t="s">
        <v>246</v>
      </c>
      <c r="E31" s="192">
        <v>30</v>
      </c>
      <c r="F31" s="192"/>
      <c r="G31" s="192">
        <f t="shared" ref="G31:G37" si="1">E31</f>
        <v>30</v>
      </c>
    </row>
    <row r="32" spans="1:7" x14ac:dyDescent="0.35">
      <c r="A32" s="191"/>
      <c r="B32" s="194"/>
      <c r="C32" s="69">
        <v>4</v>
      </c>
      <c r="D32" s="86" t="s">
        <v>247</v>
      </c>
      <c r="E32" s="192">
        <v>20</v>
      </c>
      <c r="F32" s="192"/>
      <c r="G32" s="192">
        <f t="shared" si="1"/>
        <v>20</v>
      </c>
    </row>
    <row r="33" spans="1:7" x14ac:dyDescent="0.35">
      <c r="A33" s="191"/>
      <c r="B33" s="194"/>
      <c r="C33" s="69">
        <v>5</v>
      </c>
      <c r="D33" s="86" t="s">
        <v>248</v>
      </c>
      <c r="E33" s="192">
        <v>20</v>
      </c>
      <c r="F33" s="192"/>
      <c r="G33" s="192">
        <f t="shared" si="1"/>
        <v>20</v>
      </c>
    </row>
    <row r="34" spans="1:7" x14ac:dyDescent="0.35">
      <c r="A34" s="191"/>
      <c r="B34" s="194"/>
      <c r="C34" s="69">
        <v>6</v>
      </c>
      <c r="D34" s="86" t="s">
        <v>249</v>
      </c>
      <c r="E34" s="192">
        <v>20</v>
      </c>
      <c r="F34" s="192"/>
      <c r="G34" s="192">
        <f t="shared" si="1"/>
        <v>20</v>
      </c>
    </row>
    <row r="35" spans="1:7" x14ac:dyDescent="0.35">
      <c r="A35" s="191"/>
      <c r="B35" s="194"/>
      <c r="C35" s="69">
        <v>7</v>
      </c>
      <c r="D35" s="86" t="s">
        <v>250</v>
      </c>
      <c r="E35" s="192">
        <v>20</v>
      </c>
      <c r="F35" s="192"/>
      <c r="G35" s="192">
        <f t="shared" si="1"/>
        <v>20</v>
      </c>
    </row>
    <row r="36" spans="1:7" x14ac:dyDescent="0.35">
      <c r="A36" s="191"/>
      <c r="B36" s="194"/>
      <c r="C36" s="69">
        <v>8</v>
      </c>
      <c r="D36" s="86" t="s">
        <v>251</v>
      </c>
      <c r="E36" s="192">
        <v>20</v>
      </c>
      <c r="F36" s="192"/>
      <c r="G36" s="192">
        <f t="shared" si="1"/>
        <v>20</v>
      </c>
    </row>
    <row r="37" spans="1:7" x14ac:dyDescent="0.35">
      <c r="A37" s="191"/>
      <c r="B37" s="194"/>
      <c r="C37" s="69">
        <v>9</v>
      </c>
      <c r="D37" s="86" t="s">
        <v>252</v>
      </c>
      <c r="E37" s="192">
        <v>20</v>
      </c>
      <c r="F37" s="192"/>
      <c r="G37" s="192">
        <f t="shared" si="1"/>
        <v>20</v>
      </c>
    </row>
    <row r="38" spans="1:7" x14ac:dyDescent="0.35">
      <c r="A38" s="191"/>
      <c r="B38" s="194"/>
      <c r="C38" s="71"/>
      <c r="D38" s="87" t="s">
        <v>94</v>
      </c>
      <c r="E38" s="72">
        <f>SUM(E29:E37)</f>
        <v>200</v>
      </c>
      <c r="F38" s="72"/>
      <c r="G38" s="72">
        <f>E38+F38</f>
        <v>200</v>
      </c>
    </row>
    <row r="39" spans="1:7" x14ac:dyDescent="0.35">
      <c r="A39" s="63">
        <v>6</v>
      </c>
      <c r="B39" s="64" t="s">
        <v>209</v>
      </c>
      <c r="C39" s="65"/>
      <c r="D39" s="88"/>
      <c r="E39" s="65"/>
      <c r="F39" s="65"/>
      <c r="G39" s="66"/>
    </row>
    <row r="40" spans="1:7" x14ac:dyDescent="0.35">
      <c r="A40" s="67"/>
      <c r="B40" s="68"/>
      <c r="C40" s="69">
        <v>1</v>
      </c>
      <c r="D40" s="86" t="s">
        <v>253</v>
      </c>
      <c r="E40" s="70"/>
      <c r="F40" s="70">
        <v>120</v>
      </c>
      <c r="G40" s="192">
        <f>E40+F40</f>
        <v>120</v>
      </c>
    </row>
    <row r="41" spans="1:7" x14ac:dyDescent="0.35">
      <c r="A41" s="191"/>
      <c r="B41" s="194"/>
      <c r="C41" s="71"/>
      <c r="D41" s="87" t="s">
        <v>94</v>
      </c>
      <c r="E41" s="72"/>
      <c r="F41" s="72">
        <f>SUM(F40)</f>
        <v>120</v>
      </c>
      <c r="G41" s="72">
        <f>F41</f>
        <v>120</v>
      </c>
    </row>
    <row r="42" spans="1:7" x14ac:dyDescent="0.35">
      <c r="A42" s="63">
        <v>7</v>
      </c>
      <c r="B42" s="64" t="s">
        <v>216</v>
      </c>
      <c r="C42" s="65"/>
      <c r="D42" s="88"/>
      <c r="E42" s="65"/>
      <c r="F42" s="65"/>
      <c r="G42" s="66"/>
    </row>
    <row r="43" spans="1:7" x14ac:dyDescent="0.35">
      <c r="A43" s="191"/>
      <c r="B43" s="194"/>
      <c r="C43" s="69">
        <v>1</v>
      </c>
      <c r="D43" s="86" t="s">
        <v>254</v>
      </c>
      <c r="E43" s="192">
        <v>10</v>
      </c>
      <c r="F43" s="192"/>
      <c r="G43" s="192">
        <f>E43</f>
        <v>10</v>
      </c>
    </row>
    <row r="44" spans="1:7" x14ac:dyDescent="0.35">
      <c r="A44" s="191"/>
      <c r="B44" s="194"/>
      <c r="C44" s="69">
        <v>2</v>
      </c>
      <c r="D44" s="86" t="s">
        <v>217</v>
      </c>
      <c r="E44" s="192">
        <v>10</v>
      </c>
      <c r="F44" s="192"/>
      <c r="G44" s="192">
        <f>E44</f>
        <v>10</v>
      </c>
    </row>
    <row r="45" spans="1:7" x14ac:dyDescent="0.35">
      <c r="A45" s="191"/>
      <c r="B45" s="194"/>
      <c r="C45" s="69">
        <v>3</v>
      </c>
      <c r="D45" s="86" t="s">
        <v>255</v>
      </c>
      <c r="E45" s="192">
        <v>10</v>
      </c>
      <c r="F45" s="192"/>
      <c r="G45" s="192">
        <f>E45</f>
        <v>10</v>
      </c>
    </row>
    <row r="46" spans="1:7" x14ac:dyDescent="0.35">
      <c r="A46" s="191"/>
      <c r="B46" s="194"/>
      <c r="C46" s="71"/>
      <c r="D46" s="87" t="s">
        <v>94</v>
      </c>
      <c r="E46" s="72">
        <f>SUM(E43:E45)</f>
        <v>30</v>
      </c>
      <c r="F46" s="72">
        <f>SUM(F43:F45)</f>
        <v>0</v>
      </c>
      <c r="G46" s="72">
        <f>E46+F46</f>
        <v>30</v>
      </c>
    </row>
    <row r="47" spans="1:7" x14ac:dyDescent="0.35">
      <c r="A47" s="63">
        <v>8</v>
      </c>
      <c r="B47" s="64" t="s">
        <v>256</v>
      </c>
      <c r="C47" s="65"/>
      <c r="D47" s="88"/>
      <c r="E47" s="65"/>
      <c r="F47" s="65"/>
      <c r="G47" s="66"/>
    </row>
    <row r="48" spans="1:7" x14ac:dyDescent="0.35">
      <c r="A48" s="191"/>
      <c r="B48" s="194"/>
      <c r="C48" s="69">
        <v>1</v>
      </c>
      <c r="D48" s="86" t="s">
        <v>257</v>
      </c>
      <c r="E48" s="192">
        <v>20</v>
      </c>
      <c r="F48" s="192"/>
      <c r="G48" s="192">
        <f>E48</f>
        <v>20</v>
      </c>
    </row>
    <row r="49" spans="3:7" x14ac:dyDescent="0.35">
      <c r="C49" s="69">
        <v>2</v>
      </c>
      <c r="D49" s="86" t="s">
        <v>258</v>
      </c>
      <c r="E49" s="192">
        <v>20</v>
      </c>
      <c r="F49" s="192"/>
      <c r="G49" s="192">
        <f>E49</f>
        <v>20</v>
      </c>
    </row>
    <row r="50" spans="3:7" x14ac:dyDescent="0.35">
      <c r="C50" s="69">
        <v>3</v>
      </c>
      <c r="D50" s="86" t="s">
        <v>216</v>
      </c>
      <c r="E50" s="192">
        <v>20</v>
      </c>
      <c r="F50" s="192"/>
      <c r="G50" s="192">
        <f>E50</f>
        <v>20</v>
      </c>
    </row>
    <row r="51" spans="3:7" x14ac:dyDescent="0.35">
      <c r="C51" s="69">
        <v>4</v>
      </c>
      <c r="D51" s="86" t="s">
        <v>259</v>
      </c>
      <c r="E51" s="192">
        <v>20</v>
      </c>
      <c r="F51" s="192"/>
      <c r="G51" s="192">
        <f>E51</f>
        <v>20</v>
      </c>
    </row>
    <row r="52" spans="3:7" x14ac:dyDescent="0.35">
      <c r="C52" s="71"/>
      <c r="D52" s="87" t="s">
        <v>94</v>
      </c>
      <c r="E52" s="72">
        <f>SUM(E48:E51)</f>
        <v>80</v>
      </c>
      <c r="F52" s="72"/>
      <c r="G52" s="72">
        <f>E52</f>
        <v>80</v>
      </c>
    </row>
    <row r="54" spans="3:7" x14ac:dyDescent="0.35">
      <c r="C54" s="220" t="s">
        <v>99</v>
      </c>
      <c r="D54" s="220"/>
      <c r="E54" s="42">
        <f>SUM(E52,E46,E38,E27,E21,E16,E13)</f>
        <v>480</v>
      </c>
      <c r="F54" s="42">
        <f>SUM(F52,F46,F41,F38,F27,F21,F16,F13)</f>
        <v>120</v>
      </c>
      <c r="G54" s="42">
        <f>SUM(G52,G46,G41,G38,G27,G21,G16,G13)</f>
        <v>600</v>
      </c>
    </row>
    <row r="55" spans="3:7" x14ac:dyDescent="0.35">
      <c r="C55" s="220" t="s">
        <v>32</v>
      </c>
      <c r="D55" s="220"/>
      <c r="E55" s="43">
        <f>E54/$H$2</f>
        <v>1</v>
      </c>
      <c r="F55" s="43">
        <f>F54/$H$2</f>
        <v>0.25</v>
      </c>
      <c r="G55" s="43">
        <f>G54/$H$2</f>
        <v>1.25</v>
      </c>
    </row>
    <row r="56" spans="3:7" x14ac:dyDescent="0.35">
      <c r="C56" s="220" t="s">
        <v>100</v>
      </c>
      <c r="D56" s="220"/>
      <c r="E56" s="43">
        <f>E55/$H$3</f>
        <v>0.2</v>
      </c>
      <c r="F56" s="43">
        <f>F55/$H$3</f>
        <v>0.05</v>
      </c>
      <c r="G56" s="43">
        <f>G55/$H$3</f>
        <v>0.25</v>
      </c>
    </row>
  </sheetData>
  <mergeCells count="7">
    <mergeCell ref="C56:D56"/>
    <mergeCell ref="A1:G1"/>
    <mergeCell ref="A4:D4"/>
    <mergeCell ref="A5:A6"/>
    <mergeCell ref="B5:G5"/>
    <mergeCell ref="C54:D54"/>
    <mergeCell ref="C55:D55"/>
  </mergeCells>
  <phoneticPr fontId="49" type="noConversion"/>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 sqref="G7 G14 G17 G22 G28:G29 G42 G47 G39" xr:uid="{92A45091-F0DA-4427-A5A5-7510CB3216C9}">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8:F10 F40" xr:uid="{F30F6789-84AF-4383-8F22-260574053EBA}">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E40 E8:E10 G15:G16 G8:G13" xr:uid="{5BC711C7-9AB0-4FAF-BE0F-4A58D7A1D270}">
      <formula1>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AF08-5A1C-431A-9485-ED684BCF09F3}">
  <dimension ref="B2:P45"/>
  <sheetViews>
    <sheetView topLeftCell="A26" workbookViewId="0">
      <selection sqref="A1:G20"/>
    </sheetView>
  </sheetViews>
  <sheetFormatPr defaultRowHeight="14.5" x14ac:dyDescent="0.35"/>
  <cols>
    <col min="2" max="2" width="30.81640625" bestFit="1" customWidth="1"/>
    <col min="7" max="7" width="14.26953125" customWidth="1"/>
  </cols>
  <sheetData>
    <row r="2" spans="2:15" x14ac:dyDescent="0.35">
      <c r="B2" s="20" t="s">
        <v>10</v>
      </c>
      <c r="C2" s="6">
        <v>26</v>
      </c>
    </row>
    <row r="3" spans="2:15" x14ac:dyDescent="0.35">
      <c r="B3" s="20" t="s">
        <v>13</v>
      </c>
      <c r="C3" s="20">
        <v>24</v>
      </c>
      <c r="G3" s="119" t="s">
        <v>10</v>
      </c>
      <c r="H3" s="119">
        <v>8</v>
      </c>
    </row>
    <row r="4" spans="2:15" x14ac:dyDescent="0.35">
      <c r="B4" s="20" t="s">
        <v>15</v>
      </c>
      <c r="C4" s="20">
        <v>4</v>
      </c>
      <c r="G4" s="119" t="s">
        <v>260</v>
      </c>
      <c r="H4" s="119">
        <v>8</v>
      </c>
    </row>
    <row r="5" spans="2:15" x14ac:dyDescent="0.35">
      <c r="B5" s="20" t="s">
        <v>16</v>
      </c>
      <c r="C5" s="20">
        <v>40</v>
      </c>
      <c r="G5" s="119" t="s">
        <v>260</v>
      </c>
      <c r="H5" s="119">
        <v>8</v>
      </c>
      <c r="O5">
        <f>250/8</f>
        <v>31.25</v>
      </c>
    </row>
    <row r="6" spans="2:15" x14ac:dyDescent="0.35">
      <c r="B6" s="20" t="s">
        <v>20</v>
      </c>
      <c r="C6" s="20">
        <v>3</v>
      </c>
      <c r="G6" s="119" t="s">
        <v>260</v>
      </c>
      <c r="H6" s="119">
        <v>8</v>
      </c>
    </row>
    <row r="7" spans="2:15" x14ac:dyDescent="0.35">
      <c r="B7" s="20" t="s">
        <v>22</v>
      </c>
      <c r="C7" s="20">
        <v>84</v>
      </c>
      <c r="G7" s="119" t="s">
        <v>261</v>
      </c>
      <c r="H7" s="119">
        <v>4</v>
      </c>
    </row>
    <row r="8" spans="2:15" x14ac:dyDescent="0.35">
      <c r="B8" s="20" t="s">
        <v>24</v>
      </c>
      <c r="C8" s="20">
        <v>3</v>
      </c>
      <c r="G8" s="119" t="s">
        <v>262</v>
      </c>
      <c r="H8" s="119">
        <v>4</v>
      </c>
    </row>
    <row r="9" spans="2:15" x14ac:dyDescent="0.35">
      <c r="B9" s="118" t="s">
        <v>25</v>
      </c>
      <c r="C9" s="20">
        <v>12</v>
      </c>
      <c r="G9" t="s">
        <v>262</v>
      </c>
      <c r="H9">
        <v>8</v>
      </c>
    </row>
    <row r="10" spans="2:15" x14ac:dyDescent="0.35">
      <c r="B10" s="20" t="s">
        <v>26</v>
      </c>
      <c r="C10" s="20">
        <v>10</v>
      </c>
      <c r="G10" t="s">
        <v>262</v>
      </c>
      <c r="H10">
        <v>8</v>
      </c>
    </row>
    <row r="11" spans="2:15" x14ac:dyDescent="0.35">
      <c r="B11" s="20" t="s">
        <v>27</v>
      </c>
      <c r="C11" s="20">
        <v>14</v>
      </c>
      <c r="G11" t="s">
        <v>262</v>
      </c>
      <c r="H11">
        <v>8</v>
      </c>
    </row>
    <row r="12" spans="2:15" x14ac:dyDescent="0.35">
      <c r="B12" s="20" t="s">
        <v>28</v>
      </c>
      <c r="C12" s="6">
        <v>6</v>
      </c>
      <c r="G12" t="s">
        <v>262</v>
      </c>
      <c r="H12">
        <v>8</v>
      </c>
    </row>
    <row r="13" spans="2:15" x14ac:dyDescent="0.35">
      <c r="B13" s="20" t="s">
        <v>29</v>
      </c>
      <c r="C13" s="20">
        <v>14</v>
      </c>
      <c r="G13" t="s">
        <v>10</v>
      </c>
      <c r="H13">
        <v>4</v>
      </c>
    </row>
    <row r="14" spans="2:15" x14ac:dyDescent="0.35">
      <c r="B14" s="20" t="s">
        <v>30</v>
      </c>
      <c r="C14" s="20">
        <v>10</v>
      </c>
      <c r="G14" t="s">
        <v>262</v>
      </c>
      <c r="H14">
        <v>4</v>
      </c>
    </row>
    <row r="15" spans="2:15" x14ac:dyDescent="0.35">
      <c r="G15" s="119" t="s">
        <v>263</v>
      </c>
      <c r="H15" s="119">
        <v>4</v>
      </c>
    </row>
    <row r="16" spans="2:15" x14ac:dyDescent="0.35">
      <c r="G16" s="119" t="s">
        <v>10</v>
      </c>
      <c r="H16" s="119">
        <v>4</v>
      </c>
    </row>
    <row r="17" spans="7:16" x14ac:dyDescent="0.35">
      <c r="G17" s="119" t="s">
        <v>263</v>
      </c>
      <c r="H17" s="119">
        <v>8</v>
      </c>
    </row>
    <row r="18" spans="7:16" x14ac:dyDescent="0.35">
      <c r="G18" s="119" t="s">
        <v>263</v>
      </c>
      <c r="H18" s="119">
        <v>8</v>
      </c>
    </row>
    <row r="19" spans="7:16" x14ac:dyDescent="0.35">
      <c r="G19" s="119" t="s">
        <v>263</v>
      </c>
      <c r="H19" s="119">
        <v>8</v>
      </c>
    </row>
    <row r="20" spans="7:16" x14ac:dyDescent="0.35">
      <c r="G20" s="119" t="s">
        <v>263</v>
      </c>
      <c r="H20" s="119">
        <v>8</v>
      </c>
    </row>
    <row r="21" spans="7:16" x14ac:dyDescent="0.35">
      <c r="G21" s="120" t="s">
        <v>10</v>
      </c>
      <c r="H21" s="120">
        <v>4</v>
      </c>
    </row>
    <row r="22" spans="7:16" x14ac:dyDescent="0.35">
      <c r="G22" t="s">
        <v>263</v>
      </c>
      <c r="H22">
        <v>8</v>
      </c>
      <c r="P22">
        <f>32*60</f>
        <v>1920</v>
      </c>
    </row>
    <row r="23" spans="7:16" x14ac:dyDescent="0.35">
      <c r="G23" t="s">
        <v>263</v>
      </c>
      <c r="H23">
        <v>8</v>
      </c>
    </row>
    <row r="24" spans="7:16" x14ac:dyDescent="0.35">
      <c r="G24" t="s">
        <v>263</v>
      </c>
      <c r="H24">
        <v>8</v>
      </c>
    </row>
    <row r="25" spans="7:16" x14ac:dyDescent="0.35">
      <c r="G25" t="s">
        <v>263</v>
      </c>
      <c r="H25">
        <v>8</v>
      </c>
    </row>
    <row r="26" spans="7:16" x14ac:dyDescent="0.35">
      <c r="G26" t="s">
        <v>264</v>
      </c>
      <c r="H26">
        <v>4</v>
      </c>
    </row>
    <row r="27" spans="7:16" x14ac:dyDescent="0.35">
      <c r="G27" s="119" t="s">
        <v>263</v>
      </c>
      <c r="H27" s="119">
        <v>8</v>
      </c>
    </row>
    <row r="28" spans="7:16" x14ac:dyDescent="0.35">
      <c r="G28" s="119" t="s">
        <v>263</v>
      </c>
      <c r="H28" s="119">
        <v>8</v>
      </c>
    </row>
    <row r="29" spans="7:16" x14ac:dyDescent="0.35">
      <c r="G29" s="119" t="s">
        <v>10</v>
      </c>
      <c r="H29" s="119">
        <v>4</v>
      </c>
    </row>
    <row r="30" spans="7:16" x14ac:dyDescent="0.35">
      <c r="G30" s="119" t="s">
        <v>265</v>
      </c>
      <c r="H30" s="119">
        <v>8</v>
      </c>
    </row>
    <row r="31" spans="7:16" x14ac:dyDescent="0.35">
      <c r="G31" s="119" t="s">
        <v>265</v>
      </c>
      <c r="H31" s="119">
        <v>4</v>
      </c>
    </row>
    <row r="32" spans="7:16" x14ac:dyDescent="0.35">
      <c r="G32" s="119" t="s">
        <v>240</v>
      </c>
      <c r="H32" s="119">
        <v>8</v>
      </c>
    </row>
    <row r="33" spans="7:8" x14ac:dyDescent="0.35">
      <c r="G33" t="s">
        <v>240</v>
      </c>
      <c r="H33">
        <v>2</v>
      </c>
    </row>
    <row r="34" spans="7:8" x14ac:dyDescent="0.35">
      <c r="G34" t="s">
        <v>266</v>
      </c>
      <c r="H34">
        <v>8</v>
      </c>
    </row>
    <row r="35" spans="7:8" x14ac:dyDescent="0.35">
      <c r="G35" t="s">
        <v>266</v>
      </c>
      <c r="H35">
        <v>6</v>
      </c>
    </row>
    <row r="36" spans="7:8" x14ac:dyDescent="0.35">
      <c r="G36" t="s">
        <v>10</v>
      </c>
      <c r="H36">
        <v>2</v>
      </c>
    </row>
    <row r="37" spans="7:8" x14ac:dyDescent="0.35">
      <c r="G37" t="s">
        <v>267</v>
      </c>
      <c r="H37">
        <v>3</v>
      </c>
    </row>
    <row r="38" spans="7:8" x14ac:dyDescent="0.35">
      <c r="G38" t="s">
        <v>28</v>
      </c>
      <c r="H38">
        <v>6</v>
      </c>
    </row>
    <row r="39" spans="7:8" x14ac:dyDescent="0.35">
      <c r="G39" t="s">
        <v>268</v>
      </c>
      <c r="H39">
        <v>4</v>
      </c>
    </row>
    <row r="40" spans="7:8" x14ac:dyDescent="0.35">
      <c r="G40" t="s">
        <v>268</v>
      </c>
      <c r="H40">
        <v>4</v>
      </c>
    </row>
    <row r="41" spans="7:8" x14ac:dyDescent="0.35">
      <c r="G41" t="s">
        <v>268</v>
      </c>
      <c r="H41">
        <v>4</v>
      </c>
    </row>
    <row r="42" spans="7:8" x14ac:dyDescent="0.35">
      <c r="G42" t="s">
        <v>268</v>
      </c>
      <c r="H42">
        <v>2</v>
      </c>
    </row>
    <row r="43" spans="7:8" x14ac:dyDescent="0.35">
      <c r="G43" s="119" t="s">
        <v>57</v>
      </c>
      <c r="H43" s="119">
        <v>4</v>
      </c>
    </row>
    <row r="44" spans="7:8" x14ac:dyDescent="0.35">
      <c r="G44" s="119" t="s">
        <v>57</v>
      </c>
      <c r="H44" s="119">
        <v>4</v>
      </c>
    </row>
    <row r="45" spans="7:8" x14ac:dyDescent="0.35">
      <c r="G45" s="119" t="s">
        <v>57</v>
      </c>
      <c r="H45" s="119">
        <v>2</v>
      </c>
    </row>
  </sheetData>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DB72-FB01-4296-BD16-3F0C275E4CB0}">
  <sheetPr>
    <tabColor theme="4"/>
  </sheetPr>
  <dimension ref="A1:L6"/>
  <sheetViews>
    <sheetView workbookViewId="0">
      <selection activeCell="B3" sqref="B3:E4"/>
    </sheetView>
  </sheetViews>
  <sheetFormatPr defaultRowHeight="14.5" x14ac:dyDescent="0.35"/>
  <cols>
    <col min="2" max="2" width="44.453125" customWidth="1"/>
    <col min="3" max="3" width="14.54296875" bestFit="1" customWidth="1"/>
    <col min="4" max="4" width="20" bestFit="1" customWidth="1"/>
    <col min="5" max="5" width="22.7265625" customWidth="1"/>
    <col min="12" max="12" width="0" hidden="1" customWidth="1"/>
  </cols>
  <sheetData>
    <row r="1" spans="1:12" ht="23.5" x14ac:dyDescent="0.55000000000000004">
      <c r="A1" s="239" t="s">
        <v>269</v>
      </c>
      <c r="B1" s="239"/>
      <c r="C1" s="239"/>
      <c r="D1" s="239"/>
      <c r="E1" s="239"/>
    </row>
    <row r="2" spans="1:12" ht="26" x14ac:dyDescent="0.35">
      <c r="A2" s="195" t="s">
        <v>270</v>
      </c>
      <c r="B2" s="195" t="s">
        <v>109</v>
      </c>
      <c r="C2" s="195" t="s">
        <v>271</v>
      </c>
      <c r="D2" s="195" t="s">
        <v>3</v>
      </c>
      <c r="E2" s="195" t="s">
        <v>272</v>
      </c>
      <c r="L2" s="2" t="s">
        <v>12</v>
      </c>
    </row>
    <row r="3" spans="1:12" x14ac:dyDescent="0.35">
      <c r="A3" s="96">
        <v>1</v>
      </c>
      <c r="B3" s="96" t="s">
        <v>20</v>
      </c>
      <c r="C3" s="96" t="s">
        <v>12</v>
      </c>
      <c r="D3" s="96">
        <v>3</v>
      </c>
      <c r="E3" s="96" t="s">
        <v>273</v>
      </c>
      <c r="L3" s="2" t="s">
        <v>18</v>
      </c>
    </row>
    <row r="4" spans="1:12" x14ac:dyDescent="0.35">
      <c r="A4" s="96">
        <v>2</v>
      </c>
      <c r="B4" s="96" t="s">
        <v>274</v>
      </c>
      <c r="C4" s="96" t="s">
        <v>18</v>
      </c>
      <c r="D4" s="96">
        <v>3</v>
      </c>
      <c r="E4" s="96" t="s">
        <v>273</v>
      </c>
      <c r="L4" s="2"/>
    </row>
    <row r="5" spans="1:12" x14ac:dyDescent="0.35">
      <c r="A5" s="96"/>
      <c r="B5" s="96"/>
      <c r="C5" s="96"/>
      <c r="D5" s="96"/>
      <c r="E5" s="96"/>
      <c r="L5" s="2"/>
    </row>
    <row r="6" spans="1:12" x14ac:dyDescent="0.35">
      <c r="A6" s="96"/>
      <c r="B6" s="96"/>
      <c r="C6" s="96"/>
      <c r="D6" s="96"/>
      <c r="E6" s="96"/>
    </row>
  </sheetData>
  <mergeCells count="1">
    <mergeCell ref="A1:E1"/>
  </mergeCells>
  <phoneticPr fontId="49" type="noConversion"/>
  <dataValidations count="1">
    <dataValidation type="list" allowBlank="1" showInputMessage="1" showErrorMessage="1" sqref="C3:C6" xr:uid="{72044BB2-57D1-4F81-9C49-6BD798339C44}"/>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9971-A3A6-4171-81D1-F2CF11DB2EB9}">
  <dimension ref="A1:I4"/>
  <sheetViews>
    <sheetView workbookViewId="0">
      <selection sqref="A1:I2"/>
    </sheetView>
  </sheetViews>
  <sheetFormatPr defaultRowHeight="14.5" x14ac:dyDescent="0.35"/>
  <cols>
    <col min="1" max="1" width="12" customWidth="1"/>
    <col min="2" max="2" width="30.54296875" bestFit="1" customWidth="1"/>
    <col min="3" max="3" width="11.1796875" bestFit="1" customWidth="1"/>
    <col min="4" max="4" width="81.1796875" bestFit="1" customWidth="1"/>
    <col min="5" max="8" width="12.81640625" customWidth="1"/>
  </cols>
  <sheetData>
    <row r="1" spans="1:9" x14ac:dyDescent="0.35">
      <c r="A1" s="240" t="s">
        <v>83</v>
      </c>
      <c r="B1" s="240" t="s">
        <v>84</v>
      </c>
      <c r="C1" s="240"/>
      <c r="D1" s="240"/>
      <c r="E1" s="240"/>
      <c r="F1" s="154"/>
      <c r="G1" s="154"/>
      <c r="H1" s="154"/>
      <c r="I1" s="154"/>
    </row>
    <row r="2" spans="1:9" ht="52.5" x14ac:dyDescent="0.35">
      <c r="A2" s="240"/>
      <c r="B2" s="154" t="s">
        <v>85</v>
      </c>
      <c r="C2" s="155" t="s">
        <v>275</v>
      </c>
      <c r="D2" s="154" t="s">
        <v>87</v>
      </c>
      <c r="E2" s="156" t="s">
        <v>276</v>
      </c>
      <c r="F2" s="156" t="s">
        <v>277</v>
      </c>
      <c r="G2" s="156" t="s">
        <v>278</v>
      </c>
      <c r="H2" s="156" t="s">
        <v>279</v>
      </c>
      <c r="I2" s="156" t="s">
        <v>280</v>
      </c>
    </row>
    <row r="3" spans="1:9" ht="65" x14ac:dyDescent="0.35">
      <c r="A3" s="157">
        <v>1</v>
      </c>
      <c r="B3" s="158" t="s">
        <v>281</v>
      </c>
      <c r="C3" s="159">
        <v>1</v>
      </c>
      <c r="D3" s="160" t="s">
        <v>282</v>
      </c>
      <c r="E3" s="159">
        <v>180</v>
      </c>
      <c r="F3" s="159"/>
      <c r="G3" s="159">
        <v>180</v>
      </c>
      <c r="H3" s="159">
        <v>3</v>
      </c>
      <c r="I3" s="159">
        <v>7.0000000000000007E-2</v>
      </c>
    </row>
    <row r="4" spans="1:9" x14ac:dyDescent="0.35">
      <c r="C4" t="s">
        <v>283</v>
      </c>
      <c r="D4" s="127" t="s">
        <v>284</v>
      </c>
    </row>
  </sheetData>
  <mergeCells count="2">
    <mergeCell ref="A1:A2"/>
    <mergeCell ref="B1:E1"/>
  </mergeCells>
  <hyperlinks>
    <hyperlink ref="D4" r:id="rId1" xr:uid="{FC7EB168-5C41-4BD8-A51D-7C345E30D23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0A825-CFA2-4233-8A86-E168FB9893F2}">
  <dimension ref="A1:C21"/>
  <sheetViews>
    <sheetView workbookViewId="0">
      <selection activeCell="E6" sqref="E6"/>
    </sheetView>
  </sheetViews>
  <sheetFormatPr defaultRowHeight="14.5" x14ac:dyDescent="0.35"/>
  <cols>
    <col min="1" max="1" width="19.81640625" customWidth="1"/>
    <col min="2" max="2" width="73.54296875" customWidth="1"/>
  </cols>
  <sheetData>
    <row r="1" spans="1:3" ht="31" customHeight="1" thickBot="1" x14ac:dyDescent="0.4">
      <c r="A1" s="245" t="s">
        <v>285</v>
      </c>
      <c r="B1" s="246"/>
      <c r="C1" s="165"/>
    </row>
    <row r="2" spans="1:3" ht="16" thickBot="1" x14ac:dyDescent="0.4">
      <c r="A2" s="166" t="s">
        <v>286</v>
      </c>
      <c r="B2" s="167" t="s">
        <v>287</v>
      </c>
      <c r="C2" s="165"/>
    </row>
    <row r="3" spans="1:3" ht="15" thickBot="1" x14ac:dyDescent="0.4">
      <c r="A3" s="168" t="s">
        <v>285</v>
      </c>
      <c r="B3" s="169" t="s">
        <v>288</v>
      </c>
      <c r="C3" s="165"/>
    </row>
    <row r="4" spans="1:3" x14ac:dyDescent="0.35">
      <c r="A4" s="165"/>
      <c r="B4" s="165"/>
      <c r="C4" s="165"/>
    </row>
    <row r="5" spans="1:3" ht="16" thickBot="1" x14ac:dyDescent="0.4">
      <c r="A5" s="247" t="s">
        <v>289</v>
      </c>
      <c r="B5" s="248"/>
      <c r="C5" s="170"/>
    </row>
    <row r="6" spans="1:3" ht="16" thickBot="1" x14ac:dyDescent="0.4">
      <c r="A6" s="171" t="s">
        <v>286</v>
      </c>
      <c r="B6" s="172" t="s">
        <v>287</v>
      </c>
      <c r="C6" s="165"/>
    </row>
    <row r="7" spans="1:3" ht="29" x14ac:dyDescent="0.35">
      <c r="A7" s="173" t="s">
        <v>290</v>
      </c>
      <c r="B7" s="174" t="s">
        <v>291</v>
      </c>
      <c r="C7" s="165"/>
    </row>
    <row r="8" spans="1:3" ht="29" x14ac:dyDescent="0.35">
      <c r="A8" s="175" t="s">
        <v>292</v>
      </c>
      <c r="B8" s="174" t="s">
        <v>293</v>
      </c>
      <c r="C8" s="165"/>
    </row>
    <row r="9" spans="1:3" x14ac:dyDescent="0.35">
      <c r="A9" s="249" t="s">
        <v>294</v>
      </c>
      <c r="B9" s="176" t="s">
        <v>295</v>
      </c>
      <c r="C9" s="244"/>
    </row>
    <row r="10" spans="1:3" x14ac:dyDescent="0.35">
      <c r="A10" s="250"/>
      <c r="B10" s="176" t="s">
        <v>296</v>
      </c>
      <c r="C10" s="244"/>
    </row>
    <row r="11" spans="1:3" x14ac:dyDescent="0.35">
      <c r="A11" s="250"/>
      <c r="B11" s="176" t="s">
        <v>297</v>
      </c>
      <c r="C11" s="244"/>
    </row>
    <row r="12" spans="1:3" x14ac:dyDescent="0.35">
      <c r="A12" s="250"/>
      <c r="B12" s="176" t="s">
        <v>298</v>
      </c>
      <c r="C12" s="244"/>
    </row>
    <row r="13" spans="1:3" x14ac:dyDescent="0.35">
      <c r="A13" s="251"/>
      <c r="B13" s="174" t="s">
        <v>299</v>
      </c>
      <c r="C13" s="244"/>
    </row>
    <row r="14" spans="1:3" x14ac:dyDescent="0.35">
      <c r="A14" s="241" t="s">
        <v>300</v>
      </c>
      <c r="B14" s="176" t="s">
        <v>301</v>
      </c>
      <c r="C14" s="244"/>
    </row>
    <row r="15" spans="1:3" x14ac:dyDescent="0.35">
      <c r="A15" s="242"/>
      <c r="B15" s="176" t="s">
        <v>302</v>
      </c>
      <c r="C15" s="244"/>
    </row>
    <row r="16" spans="1:3" x14ac:dyDescent="0.35">
      <c r="A16" s="242"/>
      <c r="B16" s="176" t="s">
        <v>303</v>
      </c>
      <c r="C16" s="244"/>
    </row>
    <row r="17" spans="1:3" x14ac:dyDescent="0.35">
      <c r="A17" s="243"/>
      <c r="B17" s="174" t="s">
        <v>304</v>
      </c>
      <c r="C17" s="244"/>
    </row>
    <row r="18" spans="1:3" x14ac:dyDescent="0.35">
      <c r="A18" s="241" t="s">
        <v>305</v>
      </c>
      <c r="B18" s="176" t="s">
        <v>306</v>
      </c>
      <c r="C18" s="244"/>
    </row>
    <row r="19" spans="1:3" x14ac:dyDescent="0.35">
      <c r="A19" s="242"/>
      <c r="B19" s="176" t="s">
        <v>307</v>
      </c>
      <c r="C19" s="244"/>
    </row>
    <row r="20" spans="1:3" x14ac:dyDescent="0.35">
      <c r="A20" s="242"/>
      <c r="B20" s="176" t="s">
        <v>308</v>
      </c>
      <c r="C20" s="244"/>
    </row>
    <row r="21" spans="1:3" x14ac:dyDescent="0.35">
      <c r="A21" s="243"/>
      <c r="B21" s="174" t="s">
        <v>309</v>
      </c>
      <c r="C21" s="244"/>
    </row>
  </sheetData>
  <mergeCells count="8">
    <mergeCell ref="A18:A21"/>
    <mergeCell ref="C18:C21"/>
    <mergeCell ref="A1:B1"/>
    <mergeCell ref="A5:B5"/>
    <mergeCell ref="A9:A13"/>
    <mergeCell ref="C9:C13"/>
    <mergeCell ref="A14:A17"/>
    <mergeCell ref="C14:C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F02C-6A34-445E-8782-B309701B8F01}">
  <dimension ref="A1:B2"/>
  <sheetViews>
    <sheetView workbookViewId="0"/>
  </sheetViews>
  <sheetFormatPr defaultRowHeight="14.5" x14ac:dyDescent="0.35"/>
  <cols>
    <col min="1" max="1" width="36.1796875" customWidth="1"/>
    <col min="2" max="2" width="48.7265625" customWidth="1"/>
  </cols>
  <sheetData>
    <row r="1" spans="1:2" x14ac:dyDescent="0.35">
      <c r="A1" s="161" t="s">
        <v>310</v>
      </c>
      <c r="B1" s="161" t="s">
        <v>311</v>
      </c>
    </row>
    <row r="2" spans="1:2" ht="58" x14ac:dyDescent="0.35">
      <c r="A2" s="161" t="s">
        <v>312</v>
      </c>
      <c r="B2" s="162" t="s">
        <v>313</v>
      </c>
    </row>
  </sheetData>
  <hyperlinks>
    <hyperlink ref="B2" r:id="rId1" xr:uid="{C77AE136-FF73-4669-918B-1647751E510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6552-F00C-47CD-8F84-9822C48C069B}">
  <dimension ref="A1:D16"/>
  <sheetViews>
    <sheetView workbookViewId="0"/>
  </sheetViews>
  <sheetFormatPr defaultRowHeight="14.5" x14ac:dyDescent="0.35"/>
  <cols>
    <col min="1" max="1" width="49" customWidth="1"/>
    <col min="2" max="2" width="38.7265625" customWidth="1"/>
    <col min="3" max="3" width="43" customWidth="1"/>
  </cols>
  <sheetData>
    <row r="1" spans="1:4" ht="26" x14ac:dyDescent="0.35">
      <c r="A1" s="151" t="s">
        <v>286</v>
      </c>
      <c r="B1" s="151" t="s">
        <v>314</v>
      </c>
      <c r="C1" s="152" t="s">
        <v>315</v>
      </c>
      <c r="D1" s="153" t="s">
        <v>316</v>
      </c>
    </row>
    <row r="2" spans="1:4" x14ac:dyDescent="0.35">
      <c r="A2" s="255" t="s">
        <v>317</v>
      </c>
      <c r="B2" s="256"/>
      <c r="C2" s="256"/>
      <c r="D2" s="257"/>
    </row>
    <row r="3" spans="1:4" ht="58" x14ac:dyDescent="0.35">
      <c r="A3" s="145" t="s">
        <v>318</v>
      </c>
      <c r="B3" s="146" t="s">
        <v>319</v>
      </c>
      <c r="C3" s="147" t="s">
        <v>320</v>
      </c>
      <c r="D3" s="146">
        <v>40</v>
      </c>
    </row>
    <row r="4" spans="1:4" x14ac:dyDescent="0.35">
      <c r="A4" s="255" t="s">
        <v>321</v>
      </c>
      <c r="B4" s="256"/>
      <c r="C4" s="256"/>
      <c r="D4" s="257"/>
    </row>
    <row r="5" spans="1:4" ht="43.5" x14ac:dyDescent="0.35">
      <c r="A5" s="145" t="s">
        <v>322</v>
      </c>
      <c r="B5" s="146" t="s">
        <v>323</v>
      </c>
      <c r="C5" s="148" t="s">
        <v>324</v>
      </c>
      <c r="D5" s="146">
        <v>30</v>
      </c>
    </row>
    <row r="6" spans="1:4" ht="29" x14ac:dyDescent="0.35">
      <c r="A6" s="145" t="s">
        <v>325</v>
      </c>
      <c r="B6" s="146" t="s">
        <v>326</v>
      </c>
      <c r="C6" s="148" t="s">
        <v>327</v>
      </c>
      <c r="D6" s="146">
        <v>10</v>
      </c>
    </row>
    <row r="7" spans="1:4" x14ac:dyDescent="0.35">
      <c r="A7" s="255" t="s">
        <v>328</v>
      </c>
      <c r="B7" s="256"/>
      <c r="C7" s="256"/>
      <c r="D7" s="257"/>
    </row>
    <row r="8" spans="1:4" ht="29" x14ac:dyDescent="0.35">
      <c r="A8" s="145" t="s">
        <v>329</v>
      </c>
      <c r="B8" s="146" t="s">
        <v>330</v>
      </c>
      <c r="C8" s="148" t="s">
        <v>331</v>
      </c>
      <c r="D8" s="146">
        <v>40</v>
      </c>
    </row>
    <row r="9" spans="1:4" x14ac:dyDescent="0.35">
      <c r="A9" s="253" t="s">
        <v>332</v>
      </c>
      <c r="B9" s="254"/>
      <c r="C9" s="254"/>
      <c r="D9" s="149">
        <v>8</v>
      </c>
    </row>
    <row r="10" spans="1:4" x14ac:dyDescent="0.35">
      <c r="A10" s="255" t="s">
        <v>333</v>
      </c>
      <c r="B10" s="256"/>
      <c r="C10" s="256"/>
      <c r="D10" s="257"/>
    </row>
    <row r="11" spans="1:4" ht="29" x14ac:dyDescent="0.35">
      <c r="A11" s="145" t="s">
        <v>334</v>
      </c>
      <c r="B11" s="146" t="s">
        <v>335</v>
      </c>
      <c r="C11" s="148" t="s">
        <v>336</v>
      </c>
      <c r="D11" s="146">
        <v>12</v>
      </c>
    </row>
    <row r="12" spans="1:4" ht="29" x14ac:dyDescent="0.35">
      <c r="A12" s="145" t="s">
        <v>337</v>
      </c>
      <c r="B12" s="146" t="s">
        <v>338</v>
      </c>
      <c r="C12" s="148" t="s">
        <v>339</v>
      </c>
      <c r="D12" s="146">
        <v>8</v>
      </c>
    </row>
    <row r="13" spans="1:4" ht="29" x14ac:dyDescent="0.35">
      <c r="A13" s="145" t="s">
        <v>340</v>
      </c>
      <c r="B13" s="146" t="s">
        <v>341</v>
      </c>
      <c r="C13" s="148" t="s">
        <v>342</v>
      </c>
      <c r="D13" s="146">
        <v>8</v>
      </c>
    </row>
    <row r="14" spans="1:4" ht="29" x14ac:dyDescent="0.35">
      <c r="A14" s="150" t="s">
        <v>343</v>
      </c>
      <c r="B14" s="146" t="s">
        <v>344</v>
      </c>
      <c r="C14" s="148" t="s">
        <v>345</v>
      </c>
      <c r="D14" s="146">
        <v>8</v>
      </c>
    </row>
    <row r="15" spans="1:4" x14ac:dyDescent="0.35">
      <c r="A15" s="255" t="s">
        <v>346</v>
      </c>
      <c r="B15" s="256"/>
      <c r="C15" s="256"/>
      <c r="D15" s="257"/>
    </row>
    <row r="16" spans="1:4" x14ac:dyDescent="0.35">
      <c r="A16" s="252" t="s">
        <v>73</v>
      </c>
      <c r="B16" s="252"/>
      <c r="C16" s="252"/>
      <c r="D16" s="252"/>
    </row>
  </sheetData>
  <mergeCells count="7">
    <mergeCell ref="A16:D16"/>
    <mergeCell ref="A9:C9"/>
    <mergeCell ref="A2:D2"/>
    <mergeCell ref="A4:D4"/>
    <mergeCell ref="A7:D7"/>
    <mergeCell ref="A10:D10"/>
    <mergeCell ref="A15:D15"/>
  </mergeCells>
  <hyperlinks>
    <hyperlink ref="C3" r:id="rId1" xr:uid="{E4031DF6-51C5-425C-A0B4-958317429FAB}"/>
    <hyperlink ref="C5" r:id="rId2" xr:uid="{BA814A1D-0076-4D0D-AF31-4AD253808477}"/>
    <hyperlink ref="C6" r:id="rId3" xr:uid="{7806522D-4F4C-4A13-BCC3-204CDC896A86}"/>
    <hyperlink ref="C12" r:id="rId4" xr:uid="{6A9FF342-CF1B-47F8-B597-3236888F9E32}"/>
    <hyperlink ref="C13" r:id="rId5" xr:uid="{DA4AC66E-C443-47E0-A74C-4A7A392D41C2}"/>
    <hyperlink ref="C14" r:id="rId6" xr:uid="{61F36D0D-4B37-433C-9319-8685DE251DD9}"/>
    <hyperlink ref="C8" r:id="rId7" xr:uid="{EB416966-BAB7-4ED0-B0C1-8BB85F98518E}"/>
  </hyperlinks>
  <pageMargins left="0.7" right="0.7" top="0.75" bottom="0.75" header="0.3" footer="0.3"/>
  <pageSetup orientation="portrait"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AC1DE-2771-41AF-9118-C6CFEDDA0E25}">
  <dimension ref="B1:C7"/>
  <sheetViews>
    <sheetView workbookViewId="0"/>
  </sheetViews>
  <sheetFormatPr defaultRowHeight="14.5" x14ac:dyDescent="0.35"/>
  <cols>
    <col min="2" max="2" width="31.54296875" customWidth="1"/>
    <col min="3" max="3" width="96.81640625" bestFit="1" customWidth="1"/>
  </cols>
  <sheetData>
    <row r="1" spans="2:3" x14ac:dyDescent="0.35">
      <c r="B1" s="10" t="s">
        <v>347</v>
      </c>
      <c r="C1" s="10" t="s">
        <v>348</v>
      </c>
    </row>
    <row r="2" spans="2:3" x14ac:dyDescent="0.35">
      <c r="B2" s="10" t="s">
        <v>349</v>
      </c>
      <c r="C2" s="144" t="s">
        <v>350</v>
      </c>
    </row>
    <row r="3" spans="2:3" x14ac:dyDescent="0.35">
      <c r="B3" s="10" t="s">
        <v>22</v>
      </c>
      <c r="C3" s="128" t="s">
        <v>351</v>
      </c>
    </row>
    <row r="4" spans="2:3" x14ac:dyDescent="0.35">
      <c r="B4" s="10" t="s">
        <v>25</v>
      </c>
      <c r="C4" s="129" t="s">
        <v>352</v>
      </c>
    </row>
    <row r="5" spans="2:3" x14ac:dyDescent="0.35">
      <c r="B5" s="10" t="s">
        <v>30</v>
      </c>
      <c r="C5" s="129" t="s">
        <v>353</v>
      </c>
    </row>
    <row r="6" spans="2:3" x14ac:dyDescent="0.35">
      <c r="B6" s="10" t="s">
        <v>26</v>
      </c>
      <c r="C6" s="258" t="s">
        <v>354</v>
      </c>
    </row>
    <row r="7" spans="2:3" x14ac:dyDescent="0.35">
      <c r="B7" s="10" t="s">
        <v>27</v>
      </c>
      <c r="C7" s="259"/>
    </row>
  </sheetData>
  <mergeCells count="1">
    <mergeCell ref="C6:C7"/>
  </mergeCells>
  <hyperlinks>
    <hyperlink ref="C3" r:id="rId1" location="overview" display="https://cognizant.udemy.com/course/java-the-complete-java-developer-course/learn/lecture/9400918 - overview" xr:uid="{903180A2-D313-465A-95D9-F3A14E3FB6B9}"/>
    <hyperlink ref="C4" r:id="rId2" xr:uid="{541C6925-9548-43D7-8D1F-FA4F9A35B7F1}"/>
    <hyperlink ref="C5" r:id="rId3" xr:uid="{51196071-70A3-4159-8F6C-7A8D61BB8D01}"/>
    <hyperlink ref="C6" r:id="rId4" display="https://cognizant.udemy.com/course/spring-web-services-tutorial/" xr:uid="{F94BCA2D-AFBE-4CAD-9CDA-053E0F060706}"/>
    <hyperlink ref="C2" r:id="rId5" xr:uid="{679970EF-4327-4CD0-B6C8-755145AF8376}"/>
  </hyperlinks>
  <pageMargins left="0.7" right="0.7" top="0.75" bottom="0.75" header="0.3" footer="0.3"/>
  <pageSetup orientation="portrait"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03F-C1DF-4EBA-8AB8-351A97FB457F}">
  <sheetPr>
    <tabColor theme="7"/>
  </sheetPr>
  <dimension ref="A1:D15"/>
  <sheetViews>
    <sheetView workbookViewId="0">
      <selection activeCell="E15" sqref="E15"/>
    </sheetView>
  </sheetViews>
  <sheetFormatPr defaultRowHeight="14.5" x14ac:dyDescent="0.35"/>
  <cols>
    <col min="2" max="2" width="28.81640625" customWidth="1"/>
    <col min="3" max="3" width="32.1796875" customWidth="1"/>
    <col min="4" max="4" width="41.1796875" customWidth="1"/>
  </cols>
  <sheetData>
    <row r="1" spans="1:4" ht="19" thickBot="1" x14ac:dyDescent="0.4">
      <c r="A1" s="260" t="s">
        <v>355</v>
      </c>
      <c r="B1" s="261"/>
      <c r="C1" s="261"/>
      <c r="D1" s="262"/>
    </row>
    <row r="2" spans="1:4" x14ac:dyDescent="0.35">
      <c r="A2" s="18"/>
      <c r="B2" s="19"/>
      <c r="C2" s="19"/>
      <c r="D2" s="196"/>
    </row>
    <row r="3" spans="1:4" x14ac:dyDescent="0.35">
      <c r="A3" s="18" t="s">
        <v>356</v>
      </c>
      <c r="B3" s="19"/>
      <c r="C3" s="197"/>
      <c r="D3" s="198"/>
    </row>
    <row r="4" spans="1:4" x14ac:dyDescent="0.35">
      <c r="A4" s="199"/>
      <c r="B4" s="200"/>
      <c r="C4" s="201"/>
      <c r="D4" s="202"/>
    </row>
    <row r="5" spans="1:4" x14ac:dyDescent="0.35">
      <c r="A5" s="8" t="s">
        <v>357</v>
      </c>
      <c r="B5" s="8" t="s">
        <v>358</v>
      </c>
      <c r="C5" s="8" t="s">
        <v>359</v>
      </c>
      <c r="D5" s="8" t="s">
        <v>360</v>
      </c>
    </row>
    <row r="6" spans="1:4" x14ac:dyDescent="0.35">
      <c r="A6" s="263" t="s">
        <v>361</v>
      </c>
      <c r="B6" s="263"/>
      <c r="C6" s="263"/>
      <c r="D6" s="263"/>
    </row>
    <row r="7" spans="1:4" x14ac:dyDescent="0.35">
      <c r="A7" s="9">
        <v>1</v>
      </c>
      <c r="B7" s="9" t="s">
        <v>362</v>
      </c>
      <c r="C7" s="9" t="s">
        <v>363</v>
      </c>
      <c r="D7" s="10"/>
    </row>
    <row r="8" spans="1:4" x14ac:dyDescent="0.35">
      <c r="A8" s="9">
        <v>2</v>
      </c>
      <c r="B8" s="9" t="s">
        <v>364</v>
      </c>
      <c r="C8" s="9" t="s">
        <v>365</v>
      </c>
      <c r="D8" s="10"/>
    </row>
    <row r="9" spans="1:4" x14ac:dyDescent="0.35">
      <c r="A9" s="9">
        <v>3</v>
      </c>
      <c r="B9" s="9" t="s">
        <v>366</v>
      </c>
      <c r="C9" s="9" t="s">
        <v>367</v>
      </c>
      <c r="D9" s="10"/>
    </row>
    <row r="10" spans="1:4" x14ac:dyDescent="0.35">
      <c r="A10" s="263" t="s">
        <v>368</v>
      </c>
      <c r="B10" s="263"/>
      <c r="C10" s="263"/>
      <c r="D10" s="263"/>
    </row>
    <row r="11" spans="1:4" x14ac:dyDescent="0.35">
      <c r="A11" s="9">
        <v>1</v>
      </c>
      <c r="B11" s="9"/>
      <c r="C11" s="9"/>
      <c r="D11" s="10"/>
    </row>
    <row r="12" spans="1:4" x14ac:dyDescent="0.35">
      <c r="A12" s="9"/>
      <c r="B12" s="13"/>
      <c r="C12" s="203"/>
      <c r="D12" s="10"/>
    </row>
    <row r="15" spans="1:4" ht="58" x14ac:dyDescent="0.35">
      <c r="B15" t="s">
        <v>369</v>
      </c>
      <c r="C15" s="135" t="s">
        <v>370</v>
      </c>
    </row>
  </sheetData>
  <mergeCells count="3">
    <mergeCell ref="A1:D1"/>
    <mergeCell ref="A6:D6"/>
    <mergeCell ref="A10:D10"/>
  </mergeCells>
  <phoneticPr fontId="49" type="noConversion"/>
  <hyperlinks>
    <hyperlink ref="C15" r:id="rId1" xr:uid="{C055BB75-8D9A-4A6D-86CE-42E079F73765}"/>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0EF6-24C2-4338-9F96-6132C594C296}">
  <dimension ref="A1:C55"/>
  <sheetViews>
    <sheetView workbookViewId="0">
      <selection activeCell="E8" sqref="E8"/>
    </sheetView>
  </sheetViews>
  <sheetFormatPr defaultColWidth="8.7265625" defaultRowHeight="12" x14ac:dyDescent="0.3"/>
  <cols>
    <col min="1" max="1" width="7.453125" style="130" customWidth="1"/>
    <col min="2" max="2" width="40.54296875" style="130" customWidth="1"/>
    <col min="3" max="3" width="66.453125" style="130" customWidth="1"/>
    <col min="4" max="16384" width="8.7265625" style="130"/>
  </cols>
  <sheetData>
    <row r="1" spans="1:3" x14ac:dyDescent="0.3">
      <c r="A1" s="265">
        <v>1</v>
      </c>
      <c r="B1" s="267" t="s">
        <v>371</v>
      </c>
      <c r="C1" s="265" t="s">
        <v>372</v>
      </c>
    </row>
    <row r="2" spans="1:3" x14ac:dyDescent="0.3">
      <c r="A2" s="265"/>
      <c r="B2" s="267"/>
      <c r="C2" s="265"/>
    </row>
    <row r="3" spans="1:3" x14ac:dyDescent="0.3">
      <c r="A3" s="265"/>
      <c r="B3" s="267"/>
      <c r="C3" s="265"/>
    </row>
    <row r="4" spans="1:3" x14ac:dyDescent="0.3">
      <c r="A4" s="265"/>
      <c r="B4" s="267"/>
      <c r="C4" s="265"/>
    </row>
    <row r="5" spans="1:3" x14ac:dyDescent="0.3">
      <c r="A5" s="265"/>
      <c r="B5" s="267"/>
      <c r="C5" s="265"/>
    </row>
    <row r="6" spans="1:3" x14ac:dyDescent="0.3">
      <c r="A6" s="265"/>
      <c r="B6" s="267"/>
      <c r="C6" s="265"/>
    </row>
    <row r="7" spans="1:3" x14ac:dyDescent="0.3">
      <c r="A7" s="265"/>
      <c r="B7" s="267"/>
      <c r="C7" s="265"/>
    </row>
    <row r="8" spans="1:3" x14ac:dyDescent="0.3">
      <c r="A8" s="265"/>
      <c r="B8" s="267"/>
      <c r="C8" s="265"/>
    </row>
    <row r="9" spans="1:3" x14ac:dyDescent="0.3">
      <c r="A9" s="265">
        <v>2</v>
      </c>
      <c r="B9" s="267"/>
      <c r="C9" s="265" t="s">
        <v>373</v>
      </c>
    </row>
    <row r="10" spans="1:3" x14ac:dyDescent="0.3">
      <c r="A10" s="265"/>
      <c r="B10" s="267"/>
      <c r="C10" s="265"/>
    </row>
    <row r="11" spans="1:3" x14ac:dyDescent="0.3">
      <c r="A11" s="265"/>
      <c r="B11" s="267"/>
      <c r="C11" s="265"/>
    </row>
    <row r="12" spans="1:3" x14ac:dyDescent="0.3">
      <c r="A12" s="265"/>
      <c r="B12" s="267"/>
      <c r="C12" s="265"/>
    </row>
    <row r="13" spans="1:3" x14ac:dyDescent="0.3">
      <c r="A13" s="265"/>
      <c r="B13" s="267"/>
      <c r="C13" s="265"/>
    </row>
    <row r="14" spans="1:3" x14ac:dyDescent="0.3">
      <c r="A14" s="265"/>
      <c r="B14" s="267"/>
      <c r="C14" s="265"/>
    </row>
    <row r="15" spans="1:3" x14ac:dyDescent="0.3">
      <c r="A15" s="265">
        <v>3</v>
      </c>
      <c r="B15" s="267"/>
      <c r="C15" s="265" t="s">
        <v>374</v>
      </c>
    </row>
    <row r="16" spans="1:3" x14ac:dyDescent="0.3">
      <c r="A16" s="265"/>
      <c r="B16" s="267"/>
      <c r="C16" s="265"/>
    </row>
    <row r="17" spans="1:3" x14ac:dyDescent="0.3">
      <c r="A17" s="265"/>
      <c r="B17" s="267"/>
      <c r="C17" s="265"/>
    </row>
    <row r="18" spans="1:3" x14ac:dyDescent="0.3">
      <c r="A18" s="265"/>
      <c r="B18" s="267"/>
      <c r="C18" s="265"/>
    </row>
    <row r="19" spans="1:3" x14ac:dyDescent="0.3">
      <c r="A19" s="265"/>
      <c r="B19" s="267"/>
      <c r="C19" s="265"/>
    </row>
    <row r="20" spans="1:3" x14ac:dyDescent="0.3">
      <c r="A20" s="265"/>
      <c r="B20" s="267"/>
      <c r="C20" s="265"/>
    </row>
    <row r="21" spans="1:3" x14ac:dyDescent="0.3">
      <c r="A21" s="265">
        <v>4</v>
      </c>
      <c r="B21" s="267"/>
      <c r="C21" s="265" t="s">
        <v>375</v>
      </c>
    </row>
    <row r="22" spans="1:3" x14ac:dyDescent="0.3">
      <c r="A22" s="265"/>
      <c r="B22" s="267"/>
      <c r="C22" s="265"/>
    </row>
    <row r="23" spans="1:3" x14ac:dyDescent="0.3">
      <c r="A23" s="265"/>
      <c r="B23" s="267"/>
      <c r="C23" s="265"/>
    </row>
    <row r="24" spans="1:3" x14ac:dyDescent="0.3">
      <c r="A24" s="265"/>
      <c r="B24" s="267"/>
      <c r="C24" s="265"/>
    </row>
    <row r="25" spans="1:3" x14ac:dyDescent="0.3">
      <c r="A25" s="265"/>
      <c r="B25" s="267"/>
      <c r="C25" s="265"/>
    </row>
    <row r="26" spans="1:3" x14ac:dyDescent="0.3">
      <c r="A26" s="265"/>
      <c r="B26" s="267"/>
      <c r="C26" s="265"/>
    </row>
    <row r="27" spans="1:3" x14ac:dyDescent="0.3">
      <c r="A27" s="265">
        <v>5</v>
      </c>
      <c r="B27" s="267"/>
      <c r="C27" s="265" t="s">
        <v>376</v>
      </c>
    </row>
    <row r="28" spans="1:3" x14ac:dyDescent="0.3">
      <c r="A28" s="265"/>
      <c r="B28" s="267"/>
      <c r="C28" s="265"/>
    </row>
    <row r="29" spans="1:3" x14ac:dyDescent="0.3">
      <c r="A29" s="265"/>
      <c r="B29" s="267"/>
      <c r="C29" s="265"/>
    </row>
    <row r="30" spans="1:3" x14ac:dyDescent="0.3">
      <c r="A30" s="265"/>
      <c r="B30" s="267"/>
      <c r="C30" s="265"/>
    </row>
    <row r="31" spans="1:3" x14ac:dyDescent="0.3">
      <c r="A31" s="265"/>
      <c r="B31" s="267"/>
      <c r="C31" s="265"/>
    </row>
    <row r="32" spans="1:3" x14ac:dyDescent="0.3">
      <c r="A32" s="265"/>
      <c r="B32" s="267"/>
      <c r="C32" s="265"/>
    </row>
    <row r="33" spans="1:3" x14ac:dyDescent="0.3">
      <c r="A33" s="265">
        <v>6</v>
      </c>
      <c r="B33" s="267"/>
      <c r="C33" s="265" t="s">
        <v>377</v>
      </c>
    </row>
    <row r="34" spans="1:3" x14ac:dyDescent="0.3">
      <c r="A34" s="265"/>
      <c r="B34" s="267"/>
      <c r="C34" s="265"/>
    </row>
    <row r="35" spans="1:3" x14ac:dyDescent="0.3">
      <c r="A35" s="265"/>
      <c r="B35" s="267"/>
      <c r="C35" s="265"/>
    </row>
    <row r="36" spans="1:3" x14ac:dyDescent="0.3">
      <c r="A36" s="265"/>
      <c r="B36" s="267"/>
      <c r="C36" s="265"/>
    </row>
    <row r="37" spans="1:3" x14ac:dyDescent="0.3">
      <c r="A37" s="265"/>
      <c r="B37" s="267"/>
      <c r="C37" s="265"/>
    </row>
    <row r="38" spans="1:3" x14ac:dyDescent="0.3">
      <c r="A38" s="265"/>
      <c r="B38" s="267"/>
      <c r="C38" s="265"/>
    </row>
    <row r="39" spans="1:3" ht="36" x14ac:dyDescent="0.3">
      <c r="A39" s="131">
        <v>7</v>
      </c>
      <c r="B39" s="264" t="s">
        <v>378</v>
      </c>
      <c r="C39" s="132" t="s">
        <v>379</v>
      </c>
    </row>
    <row r="40" spans="1:3" x14ac:dyDescent="0.3">
      <c r="A40" s="131">
        <v>8</v>
      </c>
      <c r="B40" s="264"/>
      <c r="C40" s="131" t="s">
        <v>380</v>
      </c>
    </row>
    <row r="41" spans="1:3" x14ac:dyDescent="0.3">
      <c r="A41" s="131">
        <v>10</v>
      </c>
      <c r="B41" s="264"/>
      <c r="C41" s="132" t="s">
        <v>381</v>
      </c>
    </row>
    <row r="42" spans="1:3" ht="36" x14ac:dyDescent="0.3">
      <c r="A42" s="131">
        <v>11</v>
      </c>
      <c r="B42" s="264"/>
      <c r="C42" s="132" t="s">
        <v>382</v>
      </c>
    </row>
    <row r="43" spans="1:3" x14ac:dyDescent="0.3">
      <c r="A43" s="131">
        <v>12</v>
      </c>
      <c r="B43" s="264"/>
      <c r="C43" s="265" t="s">
        <v>383</v>
      </c>
    </row>
    <row r="44" spans="1:3" x14ac:dyDescent="0.3">
      <c r="A44" s="131">
        <v>13</v>
      </c>
      <c r="B44" s="264"/>
      <c r="C44" s="266"/>
    </row>
    <row r="45" spans="1:3" ht="48" x14ac:dyDescent="0.3">
      <c r="A45" s="131">
        <v>14</v>
      </c>
      <c r="B45" s="264"/>
      <c r="C45" s="132" t="s">
        <v>384</v>
      </c>
    </row>
    <row r="46" spans="1:3" ht="24" x14ac:dyDescent="0.3">
      <c r="A46" s="131">
        <v>15</v>
      </c>
      <c r="B46" s="264"/>
      <c r="C46" s="132" t="s">
        <v>385</v>
      </c>
    </row>
    <row r="47" spans="1:3" x14ac:dyDescent="0.3">
      <c r="A47" s="131">
        <v>16</v>
      </c>
      <c r="B47" s="264"/>
      <c r="C47" s="131" t="s">
        <v>386</v>
      </c>
    </row>
    <row r="48" spans="1:3" x14ac:dyDescent="0.3">
      <c r="A48" s="131">
        <v>17</v>
      </c>
      <c r="B48" s="264"/>
      <c r="C48" s="265" t="s">
        <v>387</v>
      </c>
    </row>
    <row r="49" spans="1:3" x14ac:dyDescent="0.3">
      <c r="A49" s="131">
        <v>18</v>
      </c>
      <c r="B49" s="264"/>
      <c r="C49" s="266"/>
    </row>
    <row r="50" spans="1:3" x14ac:dyDescent="0.3">
      <c r="A50" s="131">
        <v>19</v>
      </c>
      <c r="B50" s="264"/>
      <c r="C50" s="265" t="s">
        <v>388</v>
      </c>
    </row>
    <row r="51" spans="1:3" x14ac:dyDescent="0.3">
      <c r="A51" s="131">
        <v>20</v>
      </c>
      <c r="B51" s="264"/>
      <c r="C51" s="266"/>
    </row>
    <row r="52" spans="1:3" ht="144" x14ac:dyDescent="0.3">
      <c r="A52" s="131">
        <v>21</v>
      </c>
      <c r="B52" s="264" t="s">
        <v>389</v>
      </c>
      <c r="C52" s="133" t="s">
        <v>390</v>
      </c>
    </row>
    <row r="53" spans="1:3" ht="96" x14ac:dyDescent="0.3">
      <c r="A53" s="131">
        <v>22</v>
      </c>
      <c r="B53" s="264"/>
      <c r="C53" s="133" t="s">
        <v>391</v>
      </c>
    </row>
    <row r="54" spans="1:3" ht="144" x14ac:dyDescent="0.3">
      <c r="A54" s="131">
        <v>23</v>
      </c>
      <c r="B54" s="264"/>
      <c r="C54" s="133" t="s">
        <v>392</v>
      </c>
    </row>
    <row r="55" spans="1:3" x14ac:dyDescent="0.3">
      <c r="A55" s="134">
        <v>24</v>
      </c>
      <c r="B55" s="134" t="s">
        <v>72</v>
      </c>
      <c r="C55" s="134" t="s">
        <v>393</v>
      </c>
    </row>
  </sheetData>
  <mergeCells count="18">
    <mergeCell ref="A1:A8"/>
    <mergeCell ref="B1:B38"/>
    <mergeCell ref="C1:C8"/>
    <mergeCell ref="A9:A14"/>
    <mergeCell ref="C9:C14"/>
    <mergeCell ref="A15:A20"/>
    <mergeCell ref="C15:C20"/>
    <mergeCell ref="A21:A26"/>
    <mergeCell ref="C21:C26"/>
    <mergeCell ref="A27:A32"/>
    <mergeCell ref="B52:B54"/>
    <mergeCell ref="C27:C32"/>
    <mergeCell ref="A33:A38"/>
    <mergeCell ref="C33:C38"/>
    <mergeCell ref="B39:B51"/>
    <mergeCell ref="C43:C44"/>
    <mergeCell ref="C48:C49"/>
    <mergeCell ref="C50:C5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651-C506-47CD-9F5F-787D6FAA0EB4}">
  <dimension ref="A1:C2"/>
  <sheetViews>
    <sheetView workbookViewId="0"/>
  </sheetViews>
  <sheetFormatPr defaultColWidth="8.7265625" defaultRowHeight="14.5" x14ac:dyDescent="0.35"/>
  <cols>
    <col min="1" max="1" width="31.54296875" style="206" customWidth="1"/>
    <col min="2" max="2" width="88" style="206" customWidth="1"/>
    <col min="3" max="3" width="42.81640625" style="206" customWidth="1"/>
    <col min="4" max="16384" width="8.7265625" style="206"/>
  </cols>
  <sheetData>
    <row r="1" spans="1:3" x14ac:dyDescent="0.35">
      <c r="A1" s="205" t="s">
        <v>101</v>
      </c>
      <c r="B1" s="205" t="s">
        <v>394</v>
      </c>
      <c r="C1" s="205" t="s">
        <v>311</v>
      </c>
    </row>
    <row r="2" spans="1:3" ht="246.5" x14ac:dyDescent="0.35">
      <c r="A2" s="207" t="s">
        <v>395</v>
      </c>
      <c r="B2" s="208" t="s">
        <v>396</v>
      </c>
      <c r="C2" s="209" t="s">
        <v>397</v>
      </c>
    </row>
  </sheetData>
  <hyperlinks>
    <hyperlink ref="C2" r:id="rId1" xr:uid="{C1BEBA69-E2F2-4A7F-B89D-13EC81BF922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ED49A697-951F-47E9-9A05-0F57252609A5}">
  <ds:schemaRefs>
    <ds:schemaRef ds:uri="http://schemas.microsoft.com/sharepoint/v3/contenttype/forms"/>
  </ds:schemaRefs>
</ds:datastoreItem>
</file>

<file path=customXml/itemProps2.xml><?xml version="1.0" encoding="utf-8"?>
<ds:datastoreItem xmlns:ds="http://schemas.openxmlformats.org/officeDocument/2006/customXml" ds:itemID="{5B55A749-F46C-412B-BAB1-CD2897A9D263}"/>
</file>

<file path=customXml/itemProps3.xml><?xml version="1.0" encoding="utf-8"?>
<ds:datastoreItem xmlns:ds="http://schemas.openxmlformats.org/officeDocument/2006/customXml" ds:itemID="{35472B49-7EC7-451C-9D02-9772F5CA88BA}">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Modulelist - OLD</vt:lpstr>
      <vt:lpstr>Modulelist</vt:lpstr>
      <vt:lpstr>Junit</vt:lpstr>
      <vt:lpstr>Adv Java concepts</vt:lpstr>
      <vt:lpstr>XML Basics</vt:lpstr>
      <vt:lpstr>Rest Web Service</vt:lpstr>
      <vt:lpstr>SOAP Web Service</vt:lpstr>
      <vt:lpstr>Weekwise</vt:lpstr>
      <vt:lpstr>Assessments</vt:lpstr>
      <vt:lpstr>AWS Overview</vt:lpstr>
      <vt:lpstr>Github Copilot - Coverage</vt:lpstr>
      <vt:lpstr>Gen AI Overview</vt:lpstr>
      <vt:lpstr>Microservices</vt:lpstr>
      <vt:lpstr>Udemy Link</vt:lpstr>
      <vt:lpstr>HW-SWReq</vt:lpstr>
      <vt:lpstr>B2B</vt:lpstr>
      <vt:lpstr>J2EE Architecture</vt:lpstr>
    </vt:vector>
  </TitlesOfParts>
  <Manager/>
  <Company>cts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Sagar  (Cognizant)</dc:creator>
  <cp:keywords/>
  <dc:description/>
  <cp:lastModifiedBy>J, Abitha (Cognizant)</cp:lastModifiedBy>
  <cp:revision/>
  <dcterms:created xsi:type="dcterms:W3CDTF">2010-11-16T07:11:02Z</dcterms:created>
  <dcterms:modified xsi:type="dcterms:W3CDTF">2025-12-18T05:31:38Z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